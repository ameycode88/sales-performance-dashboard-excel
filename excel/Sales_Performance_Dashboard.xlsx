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drawings/drawing3.xml" ContentType="application/vnd.openxmlformats-officedocument.drawing+xml"/>
  <Override PartName="/xl/charts/chart4.xml" ContentType="application/vnd.openxmlformats-officedocument.drawingml.chart+xml"/>
  <Override PartName="/xl/pivotTables/pivotTable1.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6.xml" ContentType="application/vnd.openxmlformats-officedocument.drawing+xml"/>
  <Override PartName="/xl/charts/chart7.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7.xml" ContentType="application/vnd.openxmlformats-officedocument.drawing+xml"/>
  <Override PartName="/xl/charts/chart8.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8.xml" ContentType="application/vnd.openxmlformats-officedocument.drawing+xml"/>
  <Override PartName="/xl/charts/chart9.xml" ContentType="application/vnd.openxmlformats-officedocument.drawingml.chart+xml"/>
  <Override PartName="/xl/charts/style5.xml" ContentType="application/vnd.ms-office.chartstyle+xml"/>
  <Override PartName="/xl/charts/colors5.xml" ContentType="application/vnd.ms-office.chartcolorstyle+xml"/>
  <Override PartName="/xl/drawings/drawing9.xml" ContentType="application/vnd.openxmlformats-officedocument.drawing+xml"/>
  <Override PartName="/xl/charts/chart10.xml" ContentType="application/vnd.openxmlformats-officedocument.drawingml.chart+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ameys\OneDrive\Desktop\Project Excel\"/>
    </mc:Choice>
  </mc:AlternateContent>
  <xr:revisionPtr revIDLastSave="0" documentId="13_ncr:1_{F817CF57-AA8F-4DAF-8AE3-E36448E99DEB}" xr6:coauthVersionLast="47" xr6:coauthVersionMax="47" xr10:uidLastSave="{00000000-0000-0000-0000-000000000000}"/>
  <bookViews>
    <workbookView xWindow="-120" yWindow="-120" windowWidth="29040" windowHeight="15720" tabRatio="500" firstSheet="5" activeTab="8" xr2:uid="{00000000-000D-0000-FFFF-FFFF00000000}"/>
  </bookViews>
  <sheets>
    <sheet name="KPI Dashboard" sheetId="1" r:id="rId1"/>
    <sheet name="Monthly Summary" sheetId="3" r:id="rId2"/>
    <sheet name="Category Analysis" sheetId="4" r:id="rId3"/>
    <sheet name="Monthly Revenue Trend" sheetId="7" r:id="rId4"/>
    <sheet name="Category Breakdown " sheetId="8" r:id="rId5"/>
    <sheet name="Customer Segment" sheetId="9" r:id="rId6"/>
    <sheet name="Top Products Top 10" sheetId="10" r:id="rId7"/>
    <sheet name="Payment Analysis" sheetId="11" r:id="rId8"/>
    <sheet name="Customer Analysis" sheetId="5" r:id="rId9"/>
    <sheet name="Raw Data" sheetId="2" r:id="rId10"/>
  </sheets>
  <definedNames>
    <definedName name="Slicer_Category">#N/A</definedName>
    <definedName name="Slicer_Quarter">#N/A</definedName>
    <definedName name="Slicer_Segment">#N/A</definedName>
  </definedNames>
  <calcPr calcId="191029" iterateDelta="1E-4"/>
  <pivotCaches>
    <pivotCache cacheId="0"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loext="http://schemas.libreoffice.org/" uri="{7626C862-2A13-11E5-B345-FEFF819CDC9F}">
      <loext:extCalcPr stringRefSyntax="ExcelA1"/>
    </ext>
  </extLst>
</workbook>
</file>

<file path=xl/calcChain.xml><?xml version="1.0" encoding="utf-8"?>
<calcChain xmlns="http://schemas.openxmlformats.org/spreadsheetml/2006/main">
  <c r="P111" i="2" l="1"/>
  <c r="H10" i="4"/>
  <c r="E10" i="4"/>
  <c r="D10" i="4"/>
  <c r="C10" i="4"/>
  <c r="B10" i="4"/>
  <c r="H16" i="3"/>
  <c r="G16" i="3"/>
  <c r="F16" i="3"/>
  <c r="E16" i="3"/>
  <c r="D16" i="3"/>
  <c r="C16" i="3"/>
  <c r="J15" i="3"/>
  <c r="I15" i="3"/>
  <c r="J14" i="3"/>
  <c r="I14" i="3"/>
  <c r="J13" i="3"/>
  <c r="I13" i="3"/>
  <c r="J12" i="3"/>
  <c r="I12" i="3"/>
  <c r="J11" i="3"/>
  <c r="I11" i="3"/>
  <c r="J10" i="3"/>
  <c r="I10" i="3"/>
  <c r="J9" i="3"/>
  <c r="I9" i="3"/>
  <c r="J8" i="3"/>
  <c r="I8" i="3"/>
  <c r="J7" i="3"/>
  <c r="I7" i="3"/>
  <c r="J6" i="3"/>
  <c r="I6" i="3"/>
  <c r="J5" i="3"/>
  <c r="I5" i="3"/>
  <c r="J4" i="3"/>
</calcChain>
</file>

<file path=xl/sharedStrings.xml><?xml version="1.0" encoding="utf-8"?>
<sst xmlns="http://schemas.openxmlformats.org/spreadsheetml/2006/main" count="1556" uniqueCount="289">
  <si>
    <t>E-COMMERCE SALES PERFORMANCE DASHBOARD  ·  FY 2023</t>
  </si>
  <si>
    <t>TOTAL NET REVENUE</t>
  </si>
  <si>
    <t>TOTAL ORDERS</t>
  </si>
  <si>
    <t>UNIQUE CUSTOMERS</t>
  </si>
  <si>
    <t>AVG ORDER VALUE</t>
  </si>
  <si>
    <t>PEAK SALES MONTH</t>
  </si>
  <si>
    <t>₹3,112,926</t>
  </si>
  <si>
    <t>71</t>
  </si>
  <si>
    <t>24</t>
  </si>
  <si>
    <t>₹43,844</t>
  </si>
  <si>
    <t>Nov-23</t>
  </si>
  <si>
    <t>Full Year 2023</t>
  </si>
  <si>
    <t>Delivered</t>
  </si>
  <si>
    <t>Active Buyers</t>
  </si>
  <si>
    <t>Per Order</t>
  </si>
  <si>
    <t>₹637,232</t>
  </si>
  <si>
    <t>MONTHLY REVENUE TREND</t>
  </si>
  <si>
    <t>REVENUE BY CATEGORY</t>
  </si>
  <si>
    <t>QUARTERLY BREAKDOWN</t>
  </si>
  <si>
    <t>TOP 5 PRODUCTS</t>
  </si>
  <si>
    <t>CUSTOMER SEGMENTS</t>
  </si>
  <si>
    <t>Quarter</t>
  </si>
  <si>
    <t>Orders</t>
  </si>
  <si>
    <t>Net Revenue (₹)</t>
  </si>
  <si>
    <t>AOV (₹)</t>
  </si>
  <si>
    <t>Product</t>
  </si>
  <si>
    <t>Category</t>
  </si>
  <si>
    <t>Revenue (₹)</t>
  </si>
  <si>
    <t>Segment</t>
  </si>
  <si>
    <t>Share %</t>
  </si>
  <si>
    <t>Q1</t>
  </si>
  <si>
    <t>iPhone 15 128GB</t>
  </si>
  <si>
    <t>Electronics</t>
  </si>
  <si>
    <t>VIP</t>
  </si>
  <si>
    <t>Q2</t>
  </si>
  <si>
    <t>Dell Inspiron 15 Laptop</t>
  </si>
  <si>
    <t>Premium</t>
  </si>
  <si>
    <t>Q3</t>
  </si>
  <si>
    <t>Samsung Galaxy S23</t>
  </si>
  <si>
    <t>Regular</t>
  </si>
  <si>
    <t>Q4</t>
  </si>
  <si>
    <t>OnePlus Nord CE 3</t>
  </si>
  <si>
    <t>Sony WH-1000XM5 Headphones</t>
  </si>
  <si>
    <t>Order ID</t>
  </si>
  <si>
    <t>Order Date</t>
  </si>
  <si>
    <t>Month</t>
  </si>
  <si>
    <t>Customer Name</t>
  </si>
  <si>
    <t>City</t>
  </si>
  <si>
    <t>State</t>
  </si>
  <si>
    <t>Product Name</t>
  </si>
  <si>
    <t>Brand</t>
  </si>
  <si>
    <t>Units Sold</t>
  </si>
  <si>
    <t>Unit Price (₹)</t>
  </si>
  <si>
    <t>Discount %</t>
  </si>
  <si>
    <t>Gross Revenue (₹)</t>
  </si>
  <si>
    <t>Payment Method</t>
  </si>
  <si>
    <t>Order Status</t>
  </si>
  <si>
    <t>05-Jan-23</t>
  </si>
  <si>
    <t>Jan-23</t>
  </si>
  <si>
    <t>Aarav Sharma</t>
  </si>
  <si>
    <t>Mumbai</t>
  </si>
  <si>
    <t>Maharashtra</t>
  </si>
  <si>
    <t>Apple</t>
  </si>
  <si>
    <t>Credit Card</t>
  </si>
  <si>
    <t>Sony</t>
  </si>
  <si>
    <t>08-Jan-23</t>
  </si>
  <si>
    <t>Rohan Mehta</t>
  </si>
  <si>
    <t>Pune</t>
  </si>
  <si>
    <t>Clothing</t>
  </si>
  <si>
    <t>Levi's 511 Slim Jeans</t>
  </si>
  <si>
    <t>Levi's</t>
  </si>
  <si>
    <t>UPI</t>
  </si>
  <si>
    <t>Books</t>
  </si>
  <si>
    <t>Atomic Habits</t>
  </si>
  <si>
    <t>Penguin</t>
  </si>
  <si>
    <t>12-Jan-23</t>
  </si>
  <si>
    <t>Vikram Joshi</t>
  </si>
  <si>
    <t>Chennai</t>
  </si>
  <si>
    <t>Tamil Nadu</t>
  </si>
  <si>
    <t>Dell</t>
  </si>
  <si>
    <t>Net Banking</t>
  </si>
  <si>
    <t>15-Jan-23</t>
  </si>
  <si>
    <t>Sneha Reddy</t>
  </si>
  <si>
    <t>Hyderabad</t>
  </si>
  <si>
    <t>Telangana</t>
  </si>
  <si>
    <t>Nike Air Max 270 Sneakers</t>
  </si>
  <si>
    <t>Nike</t>
  </si>
  <si>
    <t>Returned</t>
  </si>
  <si>
    <t>20-Jan-23</t>
  </si>
  <si>
    <t>Priya Patel</t>
  </si>
  <si>
    <t>Ahmedabad</t>
  </si>
  <si>
    <t>Gujarat</t>
  </si>
  <si>
    <t>Samsung</t>
  </si>
  <si>
    <t>25-Jan-23</t>
  </si>
  <si>
    <t>Karan Singh</t>
  </si>
  <si>
    <t>Delhi</t>
  </si>
  <si>
    <t>Allen Solly Formal Shirt</t>
  </si>
  <si>
    <t>Allen Solly</t>
  </si>
  <si>
    <t>Debit Card</t>
  </si>
  <si>
    <t>28-Jan-23</t>
  </si>
  <si>
    <t>Nikhil Verma</t>
  </si>
  <si>
    <t>Lucknow</t>
  </si>
  <si>
    <t>Uttar Pradesh</t>
  </si>
  <si>
    <t>SQL for Data Analysis</t>
  </si>
  <si>
    <t>O'Reilly</t>
  </si>
  <si>
    <t>02-Feb-23</t>
  </si>
  <si>
    <t>Feb-23</t>
  </si>
  <si>
    <t>Meera Iyer</t>
  </si>
  <si>
    <t>Bengaluru</t>
  </si>
  <si>
    <t>Karnataka</t>
  </si>
  <si>
    <t>Home &amp; Kitchen</t>
  </si>
  <si>
    <t>Prestige Induction Cooktop</t>
  </si>
  <si>
    <t>Prestige</t>
  </si>
  <si>
    <t>Milton Thermosteel Bottle</t>
  </si>
  <si>
    <t>Milton</t>
  </si>
  <si>
    <t>07-Feb-23</t>
  </si>
  <si>
    <t>Divya Menon</t>
  </si>
  <si>
    <t>Kochi</t>
  </si>
  <si>
    <t>Kerala</t>
  </si>
  <si>
    <t>Philips Air Fryer HD9252</t>
  </si>
  <si>
    <t>Philips</t>
  </si>
  <si>
    <t>Wallet</t>
  </si>
  <si>
    <t>10-Feb-23</t>
  </si>
  <si>
    <t>Riya Saxena</t>
  </si>
  <si>
    <t>Agra</t>
  </si>
  <si>
    <t>Clean Code – Robert Martin</t>
  </si>
  <si>
    <t>Pearson</t>
  </si>
  <si>
    <t>14-Feb-23</t>
  </si>
  <si>
    <t>03-Mar-23</t>
  </si>
  <si>
    <t>Mar-23</t>
  </si>
  <si>
    <t>Swati Kulkarni</t>
  </si>
  <si>
    <t>Pigeon Non-Stick Cookware Set</t>
  </si>
  <si>
    <t>Pigeon</t>
  </si>
  <si>
    <t>Beauty</t>
  </si>
  <si>
    <t>Nivea Men Face Wash</t>
  </si>
  <si>
    <t>Nivea</t>
  </si>
  <si>
    <t>18-Mar-23</t>
  </si>
  <si>
    <t>Isha Choudhary</t>
  </si>
  <si>
    <t>Jodhpur</t>
  </si>
  <si>
    <t>Rajasthan</t>
  </si>
  <si>
    <t>Sports</t>
  </si>
  <si>
    <t>Boldfit Yoga Mat</t>
  </si>
  <si>
    <t>Boldfit</t>
  </si>
  <si>
    <t>04-Apr-23</t>
  </si>
  <si>
    <t>Apr-23</t>
  </si>
  <si>
    <t>boAt Rockerz 450 BT Headset</t>
  </si>
  <si>
    <t>boAt</t>
  </si>
  <si>
    <t>20-Apr-23</t>
  </si>
  <si>
    <t>03-May-23</t>
  </si>
  <si>
    <t>May-23</t>
  </si>
  <si>
    <t>OnePlus</t>
  </si>
  <si>
    <t>08-May-23</t>
  </si>
  <si>
    <t>Puma Track Pants</t>
  </si>
  <si>
    <t>Puma</t>
  </si>
  <si>
    <t>13-May-23</t>
  </si>
  <si>
    <t>System Design Interview</t>
  </si>
  <si>
    <t>Independently</t>
  </si>
  <si>
    <t>04-Jun-23</t>
  </si>
  <si>
    <t>Jun-23</t>
  </si>
  <si>
    <t>15-Jun-23</t>
  </si>
  <si>
    <t>20-Jun-23</t>
  </si>
  <si>
    <t>Arjun Gupta</t>
  </si>
  <si>
    <t>Jaipur</t>
  </si>
  <si>
    <t>05-Jul-23</t>
  </si>
  <si>
    <t>Jul-23</t>
  </si>
  <si>
    <t>10-Jul-23</t>
  </si>
  <si>
    <t>15-Jul-23</t>
  </si>
  <si>
    <t>Rahul Banerjee</t>
  </si>
  <si>
    <t>Kolkata</t>
  </si>
  <si>
    <t>West Bengal</t>
  </si>
  <si>
    <t>20-Jul-23</t>
  </si>
  <si>
    <t>25-Jul-23</t>
  </si>
  <si>
    <t>03-Aug-23</t>
  </si>
  <si>
    <t>Aug-23</t>
  </si>
  <si>
    <t>08-Aug-23</t>
  </si>
  <si>
    <t>13-Aug-23</t>
  </si>
  <si>
    <t>Mamaearth Vitamin C Serum</t>
  </si>
  <si>
    <t>Mamaearth</t>
  </si>
  <si>
    <t>18-Aug-23</t>
  </si>
  <si>
    <t>04-Sep-23</t>
  </si>
  <si>
    <t>Sep-23</t>
  </si>
  <si>
    <t>15-Sep-23</t>
  </si>
  <si>
    <t>25-Sep-23</t>
  </si>
  <si>
    <t>01-Oct-23</t>
  </si>
  <si>
    <t>Oct-23</t>
  </si>
  <si>
    <t>05-Oct-23</t>
  </si>
  <si>
    <t>09-Oct-23</t>
  </si>
  <si>
    <t>13-Oct-23</t>
  </si>
  <si>
    <t>15-Oct-23</t>
  </si>
  <si>
    <t>21-Oct-23</t>
  </si>
  <si>
    <t>Harsh Malhotra</t>
  </si>
  <si>
    <t>23-Oct-23</t>
  </si>
  <si>
    <t>01-Nov-23</t>
  </si>
  <si>
    <t>03-Nov-23</t>
  </si>
  <si>
    <t>05-Nov-23</t>
  </si>
  <si>
    <t>07-Nov-23</t>
  </si>
  <si>
    <t>09-Nov-23</t>
  </si>
  <si>
    <t>12-Nov-23</t>
  </si>
  <si>
    <t>Aditya Rao</t>
  </si>
  <si>
    <t>14-Nov-23</t>
  </si>
  <si>
    <t>17-Nov-23</t>
  </si>
  <si>
    <t>Siddharth Bhatt</t>
  </si>
  <si>
    <t>Vadodara</t>
  </si>
  <si>
    <t>Fabindia Kurta Set</t>
  </si>
  <si>
    <t>Fabindia</t>
  </si>
  <si>
    <t>Himalaya Neem Face Wash</t>
  </si>
  <si>
    <t>Himalaya</t>
  </si>
  <si>
    <t>20-Nov-23</t>
  </si>
  <si>
    <t>Anjali Nair</t>
  </si>
  <si>
    <t>Cosco Badminton Racket Set</t>
  </si>
  <si>
    <t>Cosco</t>
  </si>
  <si>
    <t>24-Nov-23</t>
  </si>
  <si>
    <t>Neha Srivastava</t>
  </si>
  <si>
    <t>Kanpur</t>
  </si>
  <si>
    <t>27-Nov-23</t>
  </si>
  <si>
    <t>Tanya Kapoor</t>
  </si>
  <si>
    <t>WOW Skin Science Hair Oil</t>
  </si>
  <si>
    <t>WOW</t>
  </si>
  <si>
    <t>02-Dec-23</t>
  </si>
  <si>
    <t>Dec-23</t>
  </si>
  <si>
    <t>05-Dec-23</t>
  </si>
  <si>
    <t>08-Dec-23</t>
  </si>
  <si>
    <t>10-Dec-23</t>
  </si>
  <si>
    <t>14-Dec-23</t>
  </si>
  <si>
    <t>16-Dec-23</t>
  </si>
  <si>
    <t>20-Dec-23</t>
  </si>
  <si>
    <t>24-Dec-23</t>
  </si>
  <si>
    <t>H&amp;M Oversized Hoodie</t>
  </si>
  <si>
    <t>H&amp;M</t>
  </si>
  <si>
    <t>28-Dec-23</t>
  </si>
  <si>
    <t>Nivia Football</t>
  </si>
  <si>
    <t>Nivia</t>
  </si>
  <si>
    <t>Decathlon Push-up Bars</t>
  </si>
  <si>
    <t>Decathlon</t>
  </si>
  <si>
    <t>22-Feb-23</t>
  </si>
  <si>
    <t>22-Mar-23</t>
  </si>
  <si>
    <t>09-Apr-23</t>
  </si>
  <si>
    <t>24-May-23</t>
  </si>
  <si>
    <t>Preeti Ghosh</t>
  </si>
  <si>
    <t>25-Jun-23</t>
  </si>
  <si>
    <t>28-Jul-23</t>
  </si>
  <si>
    <t>Shreyas Hegde</t>
  </si>
  <si>
    <t>23-Aug-23</t>
  </si>
  <si>
    <t>Boldfit Resistance Bands Set</t>
  </si>
  <si>
    <t>12-Sep-23</t>
  </si>
  <si>
    <t>Yash Doshi</t>
  </si>
  <si>
    <t>Rajkot</t>
  </si>
  <si>
    <t>25-Oct-23</t>
  </si>
  <si>
    <t>22-Nov-23</t>
  </si>
  <si>
    <t>Mohit Rawat</t>
  </si>
  <si>
    <t>Dehradun</t>
  </si>
  <si>
    <t>Uttarakhand</t>
  </si>
  <si>
    <t>15-Dec-23</t>
  </si>
  <si>
    <t>MONTHLY SALES SUMMARY — FY 2023</t>
  </si>
  <si>
    <t>Discount Given (₹)</t>
  </si>
  <si>
    <t>Avg Order Value (₹)</t>
  </si>
  <si>
    <t>MoM Growth %</t>
  </si>
  <si>
    <t>Running Total (₹)</t>
  </si>
  <si>
    <t>-</t>
  </si>
  <si>
    <t>TOTAL / AVG</t>
  </si>
  <si>
    <t>FY 2023</t>
  </si>
  <si>
    <t>Full Year</t>
  </si>
  <si>
    <t>CATEGORY &amp; PRODUCT PERFORMANCE — FY 2023</t>
  </si>
  <si>
    <t>A  |  REVENUE BY CATEGORY</t>
  </si>
  <si>
    <t>Revenue Share %</t>
  </si>
  <si>
    <t>Avg Unit Price (₹)</t>
  </si>
  <si>
    <t>TOTAL</t>
  </si>
  <si>
    <t>B  |  TOP 10 PRODUCTS BY NET REVENUE</t>
  </si>
  <si>
    <t>Rank</t>
  </si>
  <si>
    <t>CUSTOMER PERFORMANCE ANALYSIS — FY 2023</t>
  </si>
  <si>
    <t>A  |  REVENUE BY CUSTOMER SEGMENT</t>
  </si>
  <si>
    <t>Customers</t>
  </si>
  <si>
    <t>Revenue / Customer (₹)</t>
  </si>
  <si>
    <t>B  |  TOP 10 CUSTOMERS BY LIFETIME VALUE</t>
  </si>
  <si>
    <t>Total Orders</t>
  </si>
  <si>
    <t>Units Bought</t>
  </si>
  <si>
    <t>Lifetime Value (₹)</t>
  </si>
  <si>
    <t>C  |  PAYMENT METHOD BREAKDOWN</t>
  </si>
  <si>
    <t>Transactions</t>
  </si>
  <si>
    <t>Row Labels</t>
  </si>
  <si>
    <t>Grand Total</t>
  </si>
  <si>
    <t>Sum of Net Revenue (₹)</t>
  </si>
  <si>
    <t>Count of Order ID</t>
  </si>
  <si>
    <t>Column Labels</t>
  </si>
  <si>
    <t>Total Sum of Net Revenue (₹)</t>
  </si>
  <si>
    <t>Total Sum of Units Sold</t>
  </si>
  <si>
    <t>Sum of Units Sold</t>
  </si>
  <si>
    <t>Total Count of Order ID</t>
  </si>
  <si>
    <t xml:space="preserve"> Credit Card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</si>
</sst>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
    <numFmt numFmtId="166" formatCode="&quot;₹&quot;\ #,##0"/>
  </numFmts>
  <fonts count="13" x14ac:knownFonts="1">
    <font>
      <sz val="11"/>
      <color theme="1"/>
      <name val="Calibri"/>
      <family val="2"/>
      <charset val="1"/>
    </font>
    <font>
      <b/>
      <sz val="20"/>
      <color rgb="FFFFFFFF"/>
      <name val="Arial"/>
      <charset val="1"/>
    </font>
    <font>
      <b/>
      <sz val="9"/>
      <color rgb="FFFFFFFF"/>
      <name val="Arial"/>
      <charset val="1"/>
    </font>
    <font>
      <b/>
      <sz val="24"/>
      <color rgb="FFFFFFFF"/>
      <name val="Arial"/>
      <charset val="1"/>
    </font>
    <font>
      <sz val="9"/>
      <color rgb="FFFFFFFF"/>
      <name val="Arial"/>
      <charset val="1"/>
    </font>
    <font>
      <b/>
      <sz val="11"/>
      <color rgb="FFFFFFFF"/>
      <name val="Arial"/>
      <charset val="1"/>
    </font>
    <font>
      <b/>
      <sz val="11"/>
      <color rgb="FF1F3864"/>
      <name val="Arial"/>
      <charset val="1"/>
    </font>
    <font>
      <b/>
      <sz val="10"/>
      <color rgb="FFFFFFFF"/>
      <name val="Arial"/>
      <charset val="1"/>
    </font>
    <font>
      <b/>
      <sz val="10"/>
      <name val="Arial"/>
      <charset val="1"/>
    </font>
    <font>
      <sz val="10"/>
      <name val="Arial"/>
      <charset val="1"/>
    </font>
    <font>
      <sz val="9"/>
      <name val="Arial"/>
      <charset val="1"/>
    </font>
    <font>
      <b/>
      <sz val="15"/>
      <color rgb="FFFFFFFF"/>
      <name val="Arial"/>
      <charset val="1"/>
    </font>
    <font>
      <b/>
      <sz val="10"/>
      <color rgb="FF1F6B4A"/>
      <name val="Arial"/>
      <charset val="1"/>
    </font>
  </fonts>
  <fills count="14">
    <fill>
      <patternFill patternType="none"/>
    </fill>
    <fill>
      <patternFill patternType="gray125"/>
    </fill>
    <fill>
      <patternFill patternType="solid">
        <fgColor rgb="FF1F3864"/>
        <bgColor rgb="FF1A1A1A"/>
      </patternFill>
    </fill>
    <fill>
      <patternFill patternType="solid">
        <fgColor rgb="FF2E75B6"/>
        <bgColor rgb="FF4F81BD"/>
      </patternFill>
    </fill>
    <fill>
      <patternFill patternType="solid">
        <fgColor rgb="FF1F6B4A"/>
        <bgColor rgb="FF008080"/>
      </patternFill>
    </fill>
    <fill>
      <patternFill patternType="solid">
        <fgColor rgb="FF5B2C8D"/>
        <bgColor rgb="FF660066"/>
      </patternFill>
    </fill>
    <fill>
      <patternFill patternType="solid">
        <fgColor rgb="FFC9A227"/>
        <bgColor rgb="FF9BBB59"/>
      </patternFill>
    </fill>
    <fill>
      <patternFill patternType="solid">
        <fgColor rgb="FFC00000"/>
        <bgColor rgb="FF800000"/>
      </patternFill>
    </fill>
    <fill>
      <patternFill patternType="solid">
        <fgColor rgb="FFF2F2F2"/>
        <bgColor rgb="FFF5F8FA"/>
      </patternFill>
    </fill>
    <fill>
      <patternFill patternType="solid">
        <fgColor rgb="FFFFF2CC"/>
        <bgColor rgb="FFF2F2F2"/>
      </patternFill>
    </fill>
    <fill>
      <patternFill patternType="solid">
        <fgColor rgb="FFDEEAF1"/>
        <bgColor rgb="FFE2EFDA"/>
      </patternFill>
    </fill>
    <fill>
      <patternFill patternType="solid">
        <fgColor rgb="FFFFFFFF"/>
        <bgColor rgb="FFF9F9F9"/>
      </patternFill>
    </fill>
    <fill>
      <patternFill patternType="solid">
        <fgColor rgb="FFE2EFDA"/>
        <bgColor rgb="FFDEEAF1"/>
      </patternFill>
    </fill>
    <fill>
      <patternFill patternType="solid">
        <fgColor rgb="FFF5F8FA"/>
        <bgColor rgb="FFF9F9F9"/>
      </patternFill>
    </fill>
  </fills>
  <borders count="10">
    <border>
      <left/>
      <right/>
      <top/>
      <bottom/>
      <diagonal/>
    </border>
    <border>
      <left style="thin">
        <color rgb="FFCCCCCC"/>
      </left>
      <right/>
      <top style="thin">
        <color rgb="FFCCCCCC"/>
      </top>
      <bottom style="thin">
        <color rgb="FFCCCCCC"/>
      </bottom>
      <diagonal/>
    </border>
    <border>
      <left style="thin">
        <color rgb="FFCCCCCC"/>
      </left>
      <right/>
      <top style="thin">
        <color rgb="FFCCCCCC"/>
      </top>
      <bottom/>
      <diagonal/>
    </border>
    <border>
      <left style="thin">
        <color rgb="FFCCCCCC"/>
      </left>
      <right style="thin">
        <color rgb="FFCCCCCC"/>
      </right>
      <top style="thin">
        <color rgb="FFCCCCCC"/>
      </top>
      <bottom style="thin">
        <color rgb="FFCCCCCC"/>
      </bottom>
      <diagonal/>
    </border>
    <border>
      <left/>
      <right style="thin">
        <color rgb="FFCCCCCC"/>
      </right>
      <top style="thin">
        <color rgb="FFCCCCCC"/>
      </top>
      <bottom style="thin">
        <color rgb="FFCCCCCC"/>
      </bottom>
      <diagonal/>
    </border>
    <border>
      <left/>
      <right style="thin">
        <color rgb="FFCCCCCC"/>
      </right>
      <top/>
      <bottom style="thin">
        <color rgb="FFCCCCCC"/>
      </bottom>
      <diagonal/>
    </border>
    <border>
      <left style="thin">
        <color rgb="FFCCCCCC"/>
      </left>
      <right style="thin">
        <color rgb="FFCCCCCC"/>
      </right>
      <top/>
      <bottom style="thin">
        <color rgb="FFCCCCCC"/>
      </bottom>
      <diagonal/>
    </border>
    <border>
      <left style="thin">
        <color rgb="FFCCCCCC"/>
      </left>
      <right/>
      <top/>
      <bottom style="thin">
        <color rgb="FFCCCCCC"/>
      </bottom>
      <diagonal/>
    </border>
    <border>
      <left/>
      <right style="thin">
        <color rgb="FFCCCCCC"/>
      </right>
      <top style="thin">
        <color rgb="FFCCCCCC"/>
      </top>
      <bottom/>
      <diagonal/>
    </border>
    <border>
      <left style="thin">
        <color rgb="FFCCCCCC"/>
      </left>
      <right style="thin">
        <color rgb="FFCCCCCC"/>
      </right>
      <top style="thin">
        <color rgb="FFCCCCCC"/>
      </top>
      <bottom/>
      <diagonal/>
    </border>
  </borders>
  <cellStyleXfs count="1">
    <xf numFmtId="0" fontId="0" fillId="0" borderId="0"/>
  </cellStyleXfs>
  <cellXfs count="71">
    <xf numFmtId="0" fontId="0" fillId="0" borderId="0" xfId="0"/>
    <xf numFmtId="0" fontId="7" fillId="3" borderId="3" xfId="0" applyFont="1" applyFill="1" applyBorder="1" applyAlignment="1">
      <alignment horizontal="center" vertical="center"/>
    </xf>
    <xf numFmtId="0" fontId="8" fillId="8" borderId="3" xfId="0" applyFont="1" applyFill="1" applyBorder="1" applyAlignment="1">
      <alignment horizontal="center" vertical="center"/>
    </xf>
    <xf numFmtId="3" fontId="8" fillId="8" borderId="3" xfId="0" applyNumberFormat="1" applyFont="1" applyFill="1" applyBorder="1" applyAlignment="1">
      <alignment horizontal="center" vertical="center"/>
    </xf>
    <xf numFmtId="0" fontId="9" fillId="9" borderId="3" xfId="0" applyFont="1" applyFill="1" applyBorder="1" applyAlignment="1">
      <alignment horizontal="center" vertical="center"/>
    </xf>
    <xf numFmtId="3" fontId="9" fillId="9" borderId="3" xfId="0" applyNumberFormat="1" applyFont="1" applyFill="1" applyBorder="1" applyAlignment="1">
      <alignment horizontal="center" vertical="center"/>
    </xf>
    <xf numFmtId="0" fontId="8" fillId="9" borderId="3" xfId="0" applyFont="1" applyFill="1" applyBorder="1" applyAlignment="1">
      <alignment horizontal="center" vertical="center"/>
    </xf>
    <xf numFmtId="3" fontId="8" fillId="9" borderId="3" xfId="0" applyNumberFormat="1" applyFont="1" applyFill="1" applyBorder="1" applyAlignment="1">
      <alignment horizontal="center" vertical="center"/>
    </xf>
    <xf numFmtId="164" fontId="8" fillId="9" borderId="3" xfId="0" applyNumberFormat="1" applyFont="1" applyFill="1" applyBorder="1" applyAlignment="1">
      <alignment horizontal="center" vertical="center"/>
    </xf>
    <xf numFmtId="0" fontId="8" fillId="10" borderId="3" xfId="0" applyFont="1" applyFill="1" applyBorder="1" applyAlignment="1">
      <alignment horizontal="center" vertical="center"/>
    </xf>
    <xf numFmtId="3" fontId="8" fillId="10" borderId="3" xfId="0" applyNumberFormat="1" applyFont="1" applyFill="1" applyBorder="1" applyAlignment="1">
      <alignment horizontal="center" vertical="center"/>
    </xf>
    <xf numFmtId="0" fontId="9" fillId="10" borderId="3" xfId="0" applyFont="1" applyFill="1" applyBorder="1" applyAlignment="1">
      <alignment horizontal="center" vertical="center"/>
    </xf>
    <xf numFmtId="3" fontId="9" fillId="10" borderId="3" xfId="0" applyNumberFormat="1" applyFont="1" applyFill="1" applyBorder="1" applyAlignment="1">
      <alignment horizontal="center" vertical="center"/>
    </xf>
    <xf numFmtId="164" fontId="9" fillId="10" borderId="3" xfId="0" applyNumberFormat="1" applyFont="1" applyFill="1" applyBorder="1" applyAlignment="1">
      <alignment horizontal="center" vertical="center"/>
    </xf>
    <xf numFmtId="0" fontId="9" fillId="11" borderId="3" xfId="0" applyFont="1" applyFill="1" applyBorder="1" applyAlignment="1">
      <alignment horizontal="center" vertical="center"/>
    </xf>
    <xf numFmtId="3" fontId="9" fillId="11" borderId="3" xfId="0" applyNumberFormat="1" applyFont="1" applyFill="1" applyBorder="1" applyAlignment="1">
      <alignment horizontal="center" vertical="center"/>
    </xf>
    <xf numFmtId="0" fontId="9" fillId="8" borderId="3" xfId="0" applyFont="1" applyFill="1" applyBorder="1" applyAlignment="1">
      <alignment horizontal="center" vertical="center"/>
    </xf>
    <xf numFmtId="3" fontId="9" fillId="8" borderId="3" xfId="0" applyNumberFormat="1" applyFont="1" applyFill="1" applyBorder="1" applyAlignment="1">
      <alignment horizontal="center" vertical="center"/>
    </xf>
    <xf numFmtId="164" fontId="9" fillId="8" borderId="3" xfId="0" applyNumberFormat="1" applyFont="1" applyFill="1" applyBorder="1" applyAlignment="1">
      <alignment horizontal="center" vertical="center"/>
    </xf>
    <xf numFmtId="0" fontId="8" fillId="12" borderId="3" xfId="0" applyFont="1" applyFill="1" applyBorder="1" applyAlignment="1">
      <alignment horizontal="center" vertical="center"/>
    </xf>
    <xf numFmtId="3" fontId="8" fillId="12" borderId="3" xfId="0" applyNumberFormat="1" applyFont="1" applyFill="1" applyBorder="1" applyAlignment="1">
      <alignment horizontal="center" vertical="center"/>
    </xf>
    <xf numFmtId="0" fontId="7" fillId="2" borderId="3" xfId="0" applyFont="1" applyFill="1" applyBorder="1" applyAlignment="1">
      <alignment horizontal="center" vertical="center"/>
    </xf>
    <xf numFmtId="0" fontId="10" fillId="13" borderId="3" xfId="0" applyFont="1" applyFill="1" applyBorder="1" applyAlignment="1">
      <alignment horizontal="center" vertical="center"/>
    </xf>
    <xf numFmtId="3" fontId="10" fillId="13" borderId="3" xfId="0" applyNumberFormat="1" applyFont="1" applyFill="1" applyBorder="1" applyAlignment="1">
      <alignment horizontal="center" vertical="center"/>
    </xf>
    <xf numFmtId="9" fontId="10" fillId="13" borderId="3" xfId="0" applyNumberFormat="1" applyFont="1" applyFill="1" applyBorder="1" applyAlignment="1">
      <alignment horizontal="center" vertical="center"/>
    </xf>
    <xf numFmtId="0" fontId="10" fillId="0" borderId="3" xfId="0" applyFont="1" applyBorder="1" applyAlignment="1">
      <alignment horizontal="center" vertical="center"/>
    </xf>
    <xf numFmtId="3" fontId="10" fillId="0" borderId="3" xfId="0" applyNumberFormat="1" applyFont="1" applyBorder="1" applyAlignment="1">
      <alignment horizontal="center" vertical="center"/>
    </xf>
    <xf numFmtId="9" fontId="10" fillId="0" borderId="3" xfId="0" applyNumberFormat="1" applyFont="1" applyBorder="1" applyAlignment="1">
      <alignment horizontal="center" vertical="center"/>
    </xf>
    <xf numFmtId="0" fontId="7" fillId="4" borderId="3" xfId="0" applyFont="1" applyFill="1" applyBorder="1" applyAlignment="1">
      <alignment horizontal="center" vertical="center"/>
    </xf>
    <xf numFmtId="3" fontId="12" fillId="10" borderId="3" xfId="0" applyNumberFormat="1" applyFont="1" applyFill="1" applyBorder="1" applyAlignment="1">
      <alignment horizontal="center" vertical="center"/>
    </xf>
    <xf numFmtId="165" fontId="9" fillId="11" borderId="3" xfId="0" applyNumberFormat="1" applyFont="1" applyFill="1" applyBorder="1" applyAlignment="1">
      <alignment horizontal="center" vertical="center"/>
    </xf>
    <xf numFmtId="3" fontId="12" fillId="11" borderId="3" xfId="0" applyNumberFormat="1" applyFont="1" applyFill="1" applyBorder="1" applyAlignment="1">
      <alignment horizontal="center" vertical="center"/>
    </xf>
    <xf numFmtId="165" fontId="9" fillId="10" borderId="3" xfId="0" applyNumberFormat="1" applyFont="1" applyFill="1" applyBorder="1" applyAlignment="1">
      <alignment horizontal="center" vertical="center"/>
    </xf>
    <xf numFmtId="3" fontId="7" fillId="2" borderId="3" xfId="0" applyNumberFormat="1" applyFont="1" applyFill="1" applyBorder="1" applyAlignment="1">
      <alignment horizontal="center" vertical="center"/>
    </xf>
    <xf numFmtId="164" fontId="9" fillId="11" borderId="3" xfId="0" applyNumberFormat="1" applyFont="1" applyFill="1" applyBorder="1" applyAlignment="1">
      <alignment horizontal="center" vertical="center"/>
    </xf>
    <xf numFmtId="0" fontId="10" fillId="13" borderId="4" xfId="0" applyFont="1" applyFill="1" applyBorder="1" applyAlignment="1">
      <alignment horizontal="center" vertical="center"/>
    </xf>
    <xf numFmtId="0" fontId="10" fillId="0" borderId="4" xfId="0" applyFont="1" applyBorder="1" applyAlignment="1">
      <alignment horizontal="center" vertical="center"/>
    </xf>
    <xf numFmtId="0" fontId="10" fillId="13" borderId="1" xfId="0" applyFont="1" applyFill="1" applyBorder="1" applyAlignment="1">
      <alignment horizontal="center" vertical="center"/>
    </xf>
    <xf numFmtId="0" fontId="10" fillId="0" borderId="1" xfId="0" applyFont="1" applyBorder="1" applyAlignment="1">
      <alignment horizontal="center" vertical="center"/>
    </xf>
    <xf numFmtId="0" fontId="7" fillId="2" borderId="5" xfId="0" applyFont="1" applyFill="1" applyBorder="1" applyAlignment="1">
      <alignment horizontal="center" vertical="center"/>
    </xf>
    <xf numFmtId="0" fontId="7" fillId="2" borderId="6" xfId="0" applyFont="1" applyFill="1" applyBorder="1" applyAlignment="1">
      <alignment horizontal="center" vertical="center"/>
    </xf>
    <xf numFmtId="0" fontId="7" fillId="2" borderId="7" xfId="0" applyFont="1" applyFill="1" applyBorder="1" applyAlignment="1">
      <alignment horizontal="center" vertical="center"/>
    </xf>
    <xf numFmtId="0" fontId="10" fillId="13" borderId="8" xfId="0" applyFont="1" applyFill="1" applyBorder="1" applyAlignment="1">
      <alignment horizontal="center" vertical="center"/>
    </xf>
    <xf numFmtId="0" fontId="10" fillId="13" borderId="9" xfId="0" applyFont="1" applyFill="1" applyBorder="1" applyAlignment="1">
      <alignment horizontal="center" vertical="center"/>
    </xf>
    <xf numFmtId="3" fontId="10" fillId="13" borderId="9" xfId="0" applyNumberFormat="1" applyFont="1" applyFill="1" applyBorder="1" applyAlignment="1">
      <alignment horizontal="center" vertical="center"/>
    </xf>
    <xf numFmtId="9" fontId="10" fillId="13" borderId="9" xfId="0" applyNumberFormat="1" applyFont="1" applyFill="1" applyBorder="1" applyAlignment="1">
      <alignment horizontal="center" vertical="center"/>
    </xf>
    <xf numFmtId="0" fontId="10" fillId="13" borderId="2" xfId="0" applyFont="1" applyFill="1" applyBorder="1" applyAlignment="1">
      <alignment horizontal="center" vertical="center"/>
    </xf>
    <xf numFmtId="0" fontId="0" fillId="0" borderId="0" xfId="0" pivotButton="1"/>
    <xf numFmtId="0" fontId="0" fillId="0" borderId="0" xfId="0" applyAlignment="1">
      <alignment horizontal="left"/>
    </xf>
    <xf numFmtId="3" fontId="0" fillId="0" borderId="0" xfId="0" applyNumberFormat="1"/>
    <xf numFmtId="166" fontId="0" fillId="0" borderId="0" xfId="0" applyNumberFormat="1"/>
    <xf numFmtId="0" fontId="5" fillId="3" borderId="1" xfId="0" applyFont="1" applyFill="1" applyBorder="1" applyAlignment="1">
      <alignment horizontal="center" vertical="center"/>
    </xf>
    <xf numFmtId="0" fontId="6" fillId="6" borderId="1" xfId="0" applyFont="1" applyFill="1" applyBorder="1" applyAlignment="1">
      <alignment horizontal="center" vertical="center"/>
    </xf>
    <xf numFmtId="0" fontId="5" fillId="2" borderId="1" xfId="0" applyFont="1" applyFill="1" applyBorder="1" applyAlignment="1">
      <alignment horizontal="center" vertical="center"/>
    </xf>
    <xf numFmtId="0" fontId="4" fillId="3" borderId="1" xfId="0" applyFont="1" applyFill="1" applyBorder="1" applyAlignment="1">
      <alignment horizontal="center" vertical="center"/>
    </xf>
    <xf numFmtId="0" fontId="4" fillId="4" borderId="1" xfId="0" applyFont="1" applyFill="1" applyBorder="1" applyAlignment="1">
      <alignment horizontal="center" vertical="center"/>
    </xf>
    <xf numFmtId="0" fontId="4" fillId="5" borderId="1" xfId="0" applyFont="1" applyFill="1" applyBorder="1" applyAlignment="1">
      <alignment horizontal="center" vertical="center"/>
    </xf>
    <xf numFmtId="0" fontId="4" fillId="6" borderId="1" xfId="0" applyFont="1" applyFill="1" applyBorder="1" applyAlignment="1">
      <alignment horizontal="center" vertical="center"/>
    </xf>
    <xf numFmtId="0" fontId="4" fillId="7" borderId="1" xfId="0" applyFont="1" applyFill="1" applyBorder="1" applyAlignment="1">
      <alignment horizontal="center" vertical="center"/>
    </xf>
    <xf numFmtId="0" fontId="3" fillId="3" borderId="2" xfId="0" applyFont="1" applyFill="1" applyBorder="1" applyAlignment="1">
      <alignment horizontal="center" vertical="center"/>
    </xf>
    <xf numFmtId="0" fontId="3" fillId="4" borderId="2" xfId="0" applyFont="1" applyFill="1" applyBorder="1" applyAlignment="1">
      <alignment horizontal="center" vertical="center"/>
    </xf>
    <xf numFmtId="0" fontId="3" fillId="5" borderId="2" xfId="0" applyFont="1" applyFill="1" applyBorder="1" applyAlignment="1">
      <alignment horizontal="center" vertical="center"/>
    </xf>
    <xf numFmtId="0" fontId="3" fillId="6" borderId="2" xfId="0" applyFont="1" applyFill="1" applyBorder="1" applyAlignment="1">
      <alignment horizontal="center" vertical="center"/>
    </xf>
    <xf numFmtId="0" fontId="3" fillId="7" borderId="2" xfId="0" applyFont="1" applyFill="1" applyBorder="1" applyAlignment="1">
      <alignment horizontal="center" vertical="center"/>
    </xf>
    <xf numFmtId="0" fontId="1" fillId="2" borderId="0" xfId="0" applyFont="1" applyFill="1" applyAlignment="1">
      <alignment horizontal="center" vertical="center"/>
    </xf>
    <xf numFmtId="0" fontId="2" fillId="3" borderId="1" xfId="0" applyFont="1" applyFill="1" applyBorder="1" applyAlignment="1">
      <alignment horizontal="center" vertical="center"/>
    </xf>
    <xf numFmtId="0" fontId="2" fillId="4" borderId="1" xfId="0" applyFont="1" applyFill="1" applyBorder="1" applyAlignment="1">
      <alignment horizontal="center" vertical="center"/>
    </xf>
    <xf numFmtId="0" fontId="2" fillId="5" borderId="1" xfId="0" applyFont="1" applyFill="1" applyBorder="1" applyAlignment="1">
      <alignment horizontal="center" vertical="center"/>
    </xf>
    <xf numFmtId="0" fontId="2" fillId="6" borderId="1" xfId="0" applyFont="1" applyFill="1" applyBorder="1" applyAlignment="1">
      <alignment horizontal="center" vertical="center"/>
    </xf>
    <xf numFmtId="0" fontId="2" fillId="7" borderId="1" xfId="0" applyFont="1" applyFill="1" applyBorder="1" applyAlignment="1">
      <alignment horizontal="center" vertical="center"/>
    </xf>
    <xf numFmtId="0" fontId="11" fillId="2" borderId="0" xfId="0" applyFont="1" applyFill="1" applyAlignment="1">
      <alignment horizontal="center" vertical="center"/>
    </xf>
  </cellXfs>
  <cellStyles count="1">
    <cellStyle name="Normal" xfId="0" builtinId="0"/>
  </cellStyles>
  <dxfs count="23">
    <dxf>
      <font>
        <b val="0"/>
        <i val="0"/>
        <strike val="0"/>
        <condense val="0"/>
        <extend val="0"/>
        <outline val="0"/>
        <shadow val="0"/>
        <u val="none"/>
        <vertAlign val="baseline"/>
        <sz val="9"/>
        <color auto="1"/>
        <name val="Arial"/>
        <charset val="1"/>
        <scheme val="none"/>
      </font>
      <fill>
        <patternFill patternType="solid">
          <fgColor rgb="FFF9F9F9"/>
          <bgColor rgb="FFF5F8FA"/>
        </patternFill>
      </fill>
      <alignment horizontal="center" vertical="center" textRotation="0" wrapText="0" indent="0" justifyLastLine="0" shrinkToFit="0" readingOrder="0"/>
      <border diagonalUp="0" diagonalDown="0">
        <left style="thin">
          <color rgb="FFCCCCCC"/>
        </left>
        <right/>
        <top style="thin">
          <color rgb="FFCCCCCC"/>
        </top>
        <bottom style="thin">
          <color rgb="FFCCCCCC"/>
        </bottom>
        <vertical/>
        <horizontal/>
      </border>
    </dxf>
    <dxf>
      <font>
        <b val="0"/>
        <i val="0"/>
        <strike val="0"/>
        <condense val="0"/>
        <extend val="0"/>
        <outline val="0"/>
        <shadow val="0"/>
        <u val="none"/>
        <vertAlign val="baseline"/>
        <sz val="9"/>
        <color auto="1"/>
        <name val="Arial"/>
        <charset val="1"/>
        <scheme val="none"/>
      </font>
      <fill>
        <patternFill patternType="solid">
          <fgColor rgb="FFF9F9F9"/>
          <bgColor rgb="FFF5F8FA"/>
        </patternFill>
      </fill>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auto="1"/>
        <name val="Arial"/>
        <charset val="1"/>
        <scheme val="none"/>
      </font>
      <numFmt numFmtId="3" formatCode="#,##0"/>
      <fill>
        <patternFill patternType="solid">
          <fgColor rgb="FFF9F9F9"/>
          <bgColor rgb="FFF5F8FA"/>
        </patternFill>
      </fill>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auto="1"/>
        <name val="Arial"/>
        <charset val="1"/>
        <scheme val="none"/>
      </font>
      <numFmt numFmtId="3" formatCode="#,##0"/>
      <fill>
        <patternFill patternType="solid">
          <fgColor rgb="FFF9F9F9"/>
          <bgColor rgb="FFF5F8FA"/>
        </patternFill>
      </fill>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auto="1"/>
        <name val="Arial"/>
        <charset val="1"/>
        <scheme val="none"/>
      </font>
      <numFmt numFmtId="13" formatCode="0%"/>
      <fill>
        <patternFill patternType="solid">
          <fgColor rgb="FFF9F9F9"/>
          <bgColor rgb="FFF5F8FA"/>
        </patternFill>
      </fill>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auto="1"/>
        <name val="Arial"/>
        <charset val="1"/>
        <scheme val="none"/>
      </font>
      <numFmt numFmtId="3" formatCode="#,##0"/>
      <fill>
        <patternFill patternType="solid">
          <fgColor rgb="FFF9F9F9"/>
          <bgColor rgb="FFF5F8FA"/>
        </patternFill>
      </fill>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auto="1"/>
        <name val="Arial"/>
        <charset val="1"/>
        <scheme val="none"/>
      </font>
      <fill>
        <patternFill patternType="solid">
          <fgColor rgb="FFF9F9F9"/>
          <bgColor rgb="FFF5F8FA"/>
        </patternFill>
      </fill>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auto="1"/>
        <name val="Arial"/>
        <charset val="1"/>
        <scheme val="none"/>
      </font>
      <fill>
        <patternFill patternType="solid">
          <fgColor rgb="FFF9F9F9"/>
          <bgColor rgb="FFF5F8FA"/>
        </patternFill>
      </fill>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auto="1"/>
        <name val="Arial"/>
        <charset val="1"/>
        <scheme val="none"/>
      </font>
      <fill>
        <patternFill patternType="solid">
          <fgColor rgb="FFF9F9F9"/>
          <bgColor rgb="FFF5F8FA"/>
        </patternFill>
      </fill>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auto="1"/>
        <name val="Arial"/>
        <charset val="1"/>
        <scheme val="none"/>
      </font>
      <fill>
        <patternFill patternType="solid">
          <fgColor rgb="FFF9F9F9"/>
          <bgColor rgb="FFF5F8FA"/>
        </patternFill>
      </fill>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auto="1"/>
        <name val="Arial"/>
        <charset val="1"/>
        <scheme val="none"/>
      </font>
      <fill>
        <patternFill patternType="solid">
          <fgColor rgb="FFF9F9F9"/>
          <bgColor rgb="FFF5F8FA"/>
        </patternFill>
      </fill>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auto="1"/>
        <name val="Arial"/>
        <charset val="1"/>
        <scheme val="none"/>
      </font>
      <fill>
        <patternFill patternType="solid">
          <fgColor rgb="FFF9F9F9"/>
          <bgColor rgb="FFF5F8FA"/>
        </patternFill>
      </fill>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auto="1"/>
        <name val="Arial"/>
        <charset val="1"/>
        <scheme val="none"/>
      </font>
      <fill>
        <patternFill patternType="solid">
          <fgColor rgb="FFF9F9F9"/>
          <bgColor rgb="FFF5F8FA"/>
        </patternFill>
      </fill>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auto="1"/>
        <name val="Arial"/>
        <charset val="1"/>
        <scheme val="none"/>
      </font>
      <fill>
        <patternFill patternType="solid">
          <fgColor rgb="FFF9F9F9"/>
          <bgColor rgb="FFF5F8FA"/>
        </patternFill>
      </fill>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auto="1"/>
        <name val="Arial"/>
        <charset val="1"/>
        <scheme val="none"/>
      </font>
      <fill>
        <patternFill patternType="solid">
          <fgColor rgb="FFF9F9F9"/>
          <bgColor rgb="FFF5F8FA"/>
        </patternFill>
      </fill>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auto="1"/>
        <name val="Arial"/>
        <charset val="1"/>
        <scheme val="none"/>
      </font>
      <fill>
        <patternFill patternType="solid">
          <fgColor rgb="FFF9F9F9"/>
          <bgColor rgb="FFF5F8FA"/>
        </patternFill>
      </fill>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auto="1"/>
        <name val="Arial"/>
        <charset val="1"/>
        <scheme val="none"/>
      </font>
      <fill>
        <patternFill patternType="solid">
          <fgColor rgb="FFF9F9F9"/>
          <bgColor rgb="FFF5F8FA"/>
        </patternFill>
      </fill>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auto="1"/>
        <name val="Arial"/>
        <charset val="1"/>
        <scheme val="none"/>
      </font>
      <fill>
        <patternFill patternType="solid">
          <fgColor rgb="FFF9F9F9"/>
          <bgColor rgb="FFF5F8FA"/>
        </patternFill>
      </fill>
      <alignment horizontal="center" vertical="center" textRotation="0" wrapText="0" indent="0" justifyLastLine="0" shrinkToFit="0" readingOrder="0"/>
      <border diagonalUp="0" diagonalDown="0">
        <left/>
        <right style="thin">
          <color rgb="FFCCCCCC"/>
        </right>
        <top style="thin">
          <color rgb="FFCCCCCC"/>
        </top>
        <bottom style="thin">
          <color rgb="FFCCCCCC"/>
        </bottom>
        <vertical/>
        <horizontal/>
      </border>
    </dxf>
    <dxf>
      <border outline="0">
        <top style="thin">
          <color rgb="FFCCCCCC"/>
        </top>
      </border>
    </dxf>
    <dxf>
      <border outline="0">
        <left style="thin">
          <color rgb="FFCCCCCC"/>
        </left>
        <right style="thin">
          <color rgb="FFCCCCCC"/>
        </right>
        <top style="thin">
          <color rgb="FFCCCCCC"/>
        </top>
        <bottom style="thin">
          <color rgb="FFCCCCCC"/>
        </bottom>
      </border>
    </dxf>
    <dxf>
      <font>
        <b val="0"/>
        <i val="0"/>
        <strike val="0"/>
        <condense val="0"/>
        <extend val="0"/>
        <outline val="0"/>
        <shadow val="0"/>
        <u val="none"/>
        <vertAlign val="baseline"/>
        <sz val="9"/>
        <color auto="1"/>
        <name val="Arial"/>
        <charset val="1"/>
        <scheme val="none"/>
      </font>
      <fill>
        <patternFill patternType="solid">
          <fgColor rgb="FFF9F9F9"/>
          <bgColor rgb="FFF5F8FA"/>
        </patternFill>
      </fill>
      <alignment horizontal="center" vertical="center" textRotation="0" wrapText="0" indent="0" justifyLastLine="0" shrinkToFit="0" readingOrder="0"/>
    </dxf>
    <dxf>
      <border outline="0">
        <bottom style="thin">
          <color rgb="FFCCCCCC"/>
        </bottom>
      </border>
    </dxf>
    <dxf>
      <font>
        <b/>
        <i val="0"/>
        <strike val="0"/>
        <condense val="0"/>
        <extend val="0"/>
        <outline val="0"/>
        <shadow val="0"/>
        <u val="none"/>
        <vertAlign val="baseline"/>
        <sz val="10"/>
        <color rgb="FFFFFFFF"/>
        <name val="Arial"/>
        <charset val="1"/>
        <scheme val="none"/>
      </font>
      <fill>
        <patternFill patternType="solid">
          <fgColor rgb="FF1A1A1A"/>
          <bgColor rgb="FF1F3864"/>
        </patternFill>
      </fill>
      <alignment horizontal="center" vertical="center" textRotation="0" wrapText="0" indent="0" justifyLastLine="0" shrinkToFit="0" readingOrder="0"/>
      <border diagonalUp="0" diagonalDown="0" outline="0">
        <left style="thin">
          <color rgb="FFCCCCCC"/>
        </left>
        <right style="thin">
          <color rgb="FFCCCCCC"/>
        </right>
        <top/>
        <bottom/>
      </border>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1F6B4A"/>
      <rgbColor rgb="FFCCCCCC"/>
      <rgbColor rgb="FF878787"/>
      <rgbColor rgb="FF9999FF"/>
      <rgbColor rgb="FFC0504D"/>
      <rgbColor rgb="FFFFF2CC"/>
      <rgbColor rgb="FFDEEAF1"/>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5F8FA"/>
      <rgbColor rgb="FFE2EFDA"/>
      <rgbColor rgb="FFF2F2F2"/>
      <rgbColor rgb="FF99CCFF"/>
      <rgbColor rgb="FFFF99CC"/>
      <rgbColor rgb="FFCC99FF"/>
      <rgbColor rgb="FFF9F9F9"/>
      <rgbColor rgb="FF2E75B6"/>
      <rgbColor rgb="FF33CCCC"/>
      <rgbColor rgb="FF9BBB59"/>
      <rgbColor rgb="FFFFCC00"/>
      <rgbColor rgb="FFC9A227"/>
      <rgbColor rgb="FFFF6600"/>
      <rgbColor rgb="FF4F81BD"/>
      <rgbColor rgb="FF969696"/>
      <rgbColor rgb="FF1F3864"/>
      <rgbColor rgb="FF339966"/>
      <rgbColor rgb="FF003300"/>
      <rgbColor rgb="FF333300"/>
      <rgbColor rgb="FF993300"/>
      <rgbColor rgb="FF993366"/>
      <rgbColor rgb="FF5B2C8D"/>
      <rgbColor rgb="FF1A1A1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5.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6.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7.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8.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9.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Monthly Net Revenue — FY 2023</a:t>
            </a:r>
          </a:p>
        </c:rich>
      </c:tx>
      <c:overlay val="0"/>
      <c:spPr>
        <a:noFill/>
        <a:ln w="0">
          <a:noFill/>
        </a:ln>
      </c:spPr>
    </c:title>
    <c:autoTitleDeleted val="0"/>
    <c:plotArea>
      <c:layout/>
      <c:lineChart>
        <c:grouping val="standard"/>
        <c:varyColors val="0"/>
        <c:ser>
          <c:idx val="0"/>
          <c:order val="0"/>
          <c:tx>
            <c:strRef>
              <c:f>'Monthly Summary'!$G$3</c:f>
              <c:strCache>
                <c:ptCount val="1"/>
                <c:pt idx="0">
                  <c:v>Net Revenue (₹)</c:v>
                </c:pt>
              </c:strCache>
            </c:strRef>
          </c:tx>
          <c:spPr>
            <a:ln w="28080">
              <a:solidFill>
                <a:srgbClr val="2E75B6"/>
              </a:solidFill>
              <a:round/>
            </a:ln>
          </c:spPr>
          <c:marker>
            <c:symbol val="circle"/>
            <c:size val="6"/>
            <c:spPr>
              <a:solidFill>
                <a:srgbClr val="2E75B6"/>
              </a:solidFill>
            </c:spPr>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'Monthly Summary'!$A$4:$A$15</c:f>
              <c:strCache>
                <c:ptCount val="12"/>
                <c:pt idx="0">
                  <c:v>Jan-23</c:v>
                </c:pt>
                <c:pt idx="1">
                  <c:v>Feb-23</c:v>
                </c:pt>
                <c:pt idx="2">
                  <c:v>Mar-23</c:v>
                </c:pt>
                <c:pt idx="3">
                  <c:v>Apr-23</c:v>
                </c:pt>
                <c:pt idx="4">
                  <c:v>May-23</c:v>
                </c:pt>
                <c:pt idx="5">
                  <c:v>Jun-23</c:v>
                </c:pt>
                <c:pt idx="6">
                  <c:v>Jul-23</c:v>
                </c:pt>
                <c:pt idx="7">
                  <c:v>Aug-23</c:v>
                </c:pt>
                <c:pt idx="8">
                  <c:v>Sep-23</c:v>
                </c:pt>
                <c:pt idx="9">
                  <c:v>Oct-23</c:v>
                </c:pt>
                <c:pt idx="10">
                  <c:v>Nov-23</c:v>
                </c:pt>
                <c:pt idx="11">
                  <c:v>Dec-23</c:v>
                </c:pt>
              </c:strCache>
            </c:strRef>
          </c:cat>
          <c:val>
            <c:numRef>
              <c:f>'Monthly Summary'!$G$4:$G$15</c:f>
              <c:numCache>
                <c:formatCode>#,##0</c:formatCode>
                <c:ptCount val="12"/>
                <c:pt idx="0">
                  <c:v>239930.85</c:v>
                </c:pt>
                <c:pt idx="1">
                  <c:v>129585.75</c:v>
                </c:pt>
                <c:pt idx="2">
                  <c:v>59556.05</c:v>
                </c:pt>
                <c:pt idx="3">
                  <c:v>90008.65</c:v>
                </c:pt>
                <c:pt idx="4">
                  <c:v>35897.5</c:v>
                </c:pt>
                <c:pt idx="5">
                  <c:v>206498</c:v>
                </c:pt>
                <c:pt idx="6">
                  <c:v>268441.75</c:v>
                </c:pt>
                <c:pt idx="7">
                  <c:v>258484.15</c:v>
                </c:pt>
                <c:pt idx="8">
                  <c:v>167596</c:v>
                </c:pt>
                <c:pt idx="9">
                  <c:v>422557.8</c:v>
                </c:pt>
                <c:pt idx="10">
                  <c:v>637231.75</c:v>
                </c:pt>
                <c:pt idx="11">
                  <c:v>597137.44999999995</c:v>
                </c:pt>
              </c:numCache>
            </c:numRef>
          </c:val>
          <c:smooth val="1"/>
          <c:extLst>
            <c:ext xmlns:c16="http://schemas.microsoft.com/office/drawing/2014/chart" uri="{C3380CC4-5D6E-409C-BE32-E72D297353CC}">
              <c16:uniqueId val="{00000000-62EE-425D-8CCF-B0A3D8D53BDB}"/>
            </c:ext>
          </c:extLst>
        </c:ser>
        <c:dLbls>
          <c:showLegendKey val="0"/>
          <c:showVal val="0"/>
          <c:showCatName val="0"/>
          <c:showSerName val="0"/>
          <c:showPercent val="0"/>
          <c:showBubbleSize val="0"/>
        </c:dLbls>
        <c:hiLowLines>
          <c:spPr>
            <a:ln w="0">
              <a:noFill/>
            </a:ln>
          </c:spPr>
        </c:hiLowLines>
        <c:marker val="1"/>
        <c:smooth val="0"/>
        <c:axId val="61038000"/>
        <c:axId val="51546561"/>
      </c:lineChart>
      <c:catAx>
        <c:axId val="61038000"/>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1546561"/>
        <c:crosses val="autoZero"/>
        <c:auto val="1"/>
        <c:lblAlgn val="ctr"/>
        <c:lblOffset val="100"/>
        <c:noMultiLvlLbl val="0"/>
      </c:catAx>
      <c:valAx>
        <c:axId val="51546561"/>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1038000"/>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Net Revenue by Category</a:t>
            </a:r>
          </a:p>
        </c:rich>
      </c:tx>
      <c:overlay val="0"/>
      <c:spPr>
        <a:noFill/>
        <a:ln w="0">
          <a:noFill/>
        </a:ln>
      </c:spPr>
    </c:title>
    <c:autoTitleDeleted val="0"/>
    <c:plotArea>
      <c:layout/>
      <c:barChart>
        <c:barDir val="bar"/>
        <c:grouping val="clustered"/>
        <c:varyColors val="0"/>
        <c:ser>
          <c:idx val="0"/>
          <c:order val="0"/>
          <c:tx>
            <c:strRef>
              <c:f>'Category Analysis'!$E$3</c:f>
              <c:strCache>
                <c:ptCount val="1"/>
                <c:pt idx="0">
                  <c:v>Net Revenue (₹)</c:v>
                </c:pt>
              </c:strCache>
            </c:strRef>
          </c:tx>
          <c:spPr>
            <a:solidFill>
              <a:srgbClr val="C9A227"/>
            </a:solidFill>
            <a:ln w="9360">
              <a:solidFill>
                <a:srgbClr val="F9F9F9"/>
              </a:solidFill>
              <a:round/>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'Category Analysis'!$A$4:$A$9</c:f>
              <c:strCache>
                <c:ptCount val="6"/>
                <c:pt idx="0">
                  <c:v>Electronics</c:v>
                </c:pt>
                <c:pt idx="1">
                  <c:v>Clothing</c:v>
                </c:pt>
                <c:pt idx="2">
                  <c:v>Home &amp; Kitchen</c:v>
                </c:pt>
                <c:pt idx="3">
                  <c:v>Books</c:v>
                </c:pt>
                <c:pt idx="4">
                  <c:v>Sports</c:v>
                </c:pt>
                <c:pt idx="5">
                  <c:v>Beauty</c:v>
                </c:pt>
              </c:strCache>
            </c:strRef>
          </c:cat>
          <c:val>
            <c:numRef>
              <c:f>'Category Analysis'!$E$4:$E$9</c:f>
              <c:numCache>
                <c:formatCode>#,##0</c:formatCode>
                <c:ptCount val="6"/>
                <c:pt idx="0">
                  <c:v>2963067</c:v>
                </c:pt>
                <c:pt idx="1">
                  <c:v>75476.800000000003</c:v>
                </c:pt>
                <c:pt idx="2">
                  <c:v>45239.75</c:v>
                </c:pt>
                <c:pt idx="3">
                  <c:v>13974.3</c:v>
                </c:pt>
                <c:pt idx="4">
                  <c:v>8089.25</c:v>
                </c:pt>
                <c:pt idx="5">
                  <c:v>7078.6</c:v>
                </c:pt>
              </c:numCache>
            </c:numRef>
          </c:val>
          <c:extLst>
            <c:ext xmlns:c16="http://schemas.microsoft.com/office/drawing/2014/chart" uri="{C3380CC4-5D6E-409C-BE32-E72D297353CC}">
              <c16:uniqueId val="{00000000-8DE9-4BA7-A9D7-56901EFF8620}"/>
            </c:ext>
          </c:extLst>
        </c:ser>
        <c:dLbls>
          <c:showLegendKey val="0"/>
          <c:showVal val="0"/>
          <c:showCatName val="0"/>
          <c:showSerName val="0"/>
          <c:showPercent val="0"/>
          <c:showBubbleSize val="0"/>
        </c:dLbls>
        <c:gapWidth val="150"/>
        <c:axId val="99399282"/>
        <c:axId val="19228467"/>
      </c:barChart>
      <c:catAx>
        <c:axId val="99399282"/>
        <c:scaling>
          <c:orientation val="minMax"/>
        </c:scaling>
        <c:delete val="0"/>
        <c:axPos val="l"/>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9228467"/>
        <c:crosses val="autoZero"/>
        <c:auto val="1"/>
        <c:lblAlgn val="ctr"/>
        <c:lblOffset val="100"/>
        <c:noMultiLvlLbl val="0"/>
      </c:catAx>
      <c:valAx>
        <c:axId val="19228467"/>
        <c:scaling>
          <c:orientation val="minMax"/>
        </c:scaling>
        <c:delete val="0"/>
        <c:axPos val="b"/>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9399282"/>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Monthly Net Revenue Trend — 2023</a:t>
            </a:r>
          </a:p>
        </c:rich>
      </c:tx>
      <c:overlay val="0"/>
      <c:spPr>
        <a:noFill/>
        <a:ln w="0">
          <a:noFill/>
        </a:ln>
      </c:spPr>
    </c:title>
    <c:autoTitleDeleted val="0"/>
    <c:plotArea>
      <c:layout/>
      <c:lineChart>
        <c:grouping val="standard"/>
        <c:varyColors val="0"/>
        <c:ser>
          <c:idx val="0"/>
          <c:order val="0"/>
          <c:tx>
            <c:strRef>
              <c:f>'Monthly Summary'!$G$3</c:f>
              <c:strCache>
                <c:ptCount val="1"/>
                <c:pt idx="0">
                  <c:v>Net Revenue (₹)</c:v>
                </c:pt>
              </c:strCache>
            </c:strRef>
          </c:tx>
          <c:spPr>
            <a:ln w="28080">
              <a:solidFill>
                <a:srgbClr val="2E75B6"/>
              </a:solidFill>
              <a:round/>
            </a:ln>
          </c:spPr>
          <c:marker>
            <c:symbol val="circle"/>
            <c:size val="7"/>
            <c:spPr>
              <a:solidFill>
                <a:srgbClr val="2E75B6"/>
              </a:solidFill>
            </c:spPr>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'Monthly Summary'!$A$4:$A$15</c:f>
              <c:strCache>
                <c:ptCount val="12"/>
                <c:pt idx="0">
                  <c:v>Jan-23</c:v>
                </c:pt>
                <c:pt idx="1">
                  <c:v>Feb-23</c:v>
                </c:pt>
                <c:pt idx="2">
                  <c:v>Mar-23</c:v>
                </c:pt>
                <c:pt idx="3">
                  <c:v>Apr-23</c:v>
                </c:pt>
                <c:pt idx="4">
                  <c:v>May-23</c:v>
                </c:pt>
                <c:pt idx="5">
                  <c:v>Jun-23</c:v>
                </c:pt>
                <c:pt idx="6">
                  <c:v>Jul-23</c:v>
                </c:pt>
                <c:pt idx="7">
                  <c:v>Aug-23</c:v>
                </c:pt>
                <c:pt idx="8">
                  <c:v>Sep-23</c:v>
                </c:pt>
                <c:pt idx="9">
                  <c:v>Oct-23</c:v>
                </c:pt>
                <c:pt idx="10">
                  <c:v>Nov-23</c:v>
                </c:pt>
                <c:pt idx="11">
                  <c:v>Dec-23</c:v>
                </c:pt>
              </c:strCache>
            </c:strRef>
          </c:cat>
          <c:val>
            <c:numRef>
              <c:f>'Monthly Summary'!$G$4:$G$15</c:f>
              <c:numCache>
                <c:formatCode>#,##0</c:formatCode>
                <c:ptCount val="12"/>
                <c:pt idx="0">
                  <c:v>239930.85</c:v>
                </c:pt>
                <c:pt idx="1">
                  <c:v>129585.75</c:v>
                </c:pt>
                <c:pt idx="2">
                  <c:v>59556.05</c:v>
                </c:pt>
                <c:pt idx="3">
                  <c:v>90008.65</c:v>
                </c:pt>
                <c:pt idx="4">
                  <c:v>35897.5</c:v>
                </c:pt>
                <c:pt idx="5">
                  <c:v>206498</c:v>
                </c:pt>
                <c:pt idx="6">
                  <c:v>268441.75</c:v>
                </c:pt>
                <c:pt idx="7">
                  <c:v>258484.15</c:v>
                </c:pt>
                <c:pt idx="8">
                  <c:v>167596</c:v>
                </c:pt>
                <c:pt idx="9">
                  <c:v>422557.8</c:v>
                </c:pt>
                <c:pt idx="10">
                  <c:v>637231.75</c:v>
                </c:pt>
                <c:pt idx="11">
                  <c:v>597137.44999999995</c:v>
                </c:pt>
              </c:numCache>
            </c:numRef>
          </c:val>
          <c:smooth val="1"/>
          <c:extLst>
            <c:ext xmlns:c16="http://schemas.microsoft.com/office/drawing/2014/chart" uri="{C3380CC4-5D6E-409C-BE32-E72D297353CC}">
              <c16:uniqueId val="{00000000-FF23-43C5-B7F4-F3F490CE0A64}"/>
            </c:ext>
          </c:extLst>
        </c:ser>
        <c:dLbls>
          <c:showLegendKey val="0"/>
          <c:showVal val="0"/>
          <c:showCatName val="0"/>
          <c:showSerName val="0"/>
          <c:showPercent val="0"/>
          <c:showBubbleSize val="0"/>
        </c:dLbls>
        <c:hiLowLines>
          <c:spPr>
            <a:ln w="0">
              <a:noFill/>
            </a:ln>
          </c:spPr>
        </c:hiLowLines>
        <c:marker val="1"/>
        <c:smooth val="0"/>
        <c:axId val="94119401"/>
        <c:axId val="74728197"/>
      </c:lineChart>
      <c:catAx>
        <c:axId val="94119401"/>
        <c:scaling>
          <c:orientation val="minMax"/>
        </c:scaling>
        <c:delete val="0"/>
        <c:axPos val="b"/>
        <c:title>
          <c:tx>
            <c:rich>
              <a:bodyPr rot="0"/>
              <a:lstStyle/>
              <a:p>
                <a:pPr>
                  <a:defRPr sz="1000" b="1" strike="noStrike" spc="-1">
                    <a:solidFill>
                      <a:srgbClr val="000000"/>
                    </a:solidFill>
                    <a:latin typeface="Calibri"/>
                  </a:defRPr>
                </a:pPr>
                <a:r>
                  <a:rPr lang="en-IN" sz="1000" b="1" strike="noStrike" spc="-1">
                    <a:solidFill>
                      <a:srgbClr val="000000"/>
                    </a:solidFill>
                    <a:latin typeface="Calibri"/>
                  </a:rPr>
                  <a:t>Month</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4728197"/>
        <c:crosses val="autoZero"/>
        <c:auto val="1"/>
        <c:lblAlgn val="ctr"/>
        <c:lblOffset val="100"/>
        <c:noMultiLvlLbl val="0"/>
      </c:catAx>
      <c:valAx>
        <c:axId val="74728197"/>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Net Revenue (₹)</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4119401"/>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Net Revenue by Category</a:t>
            </a:r>
          </a:p>
        </c:rich>
      </c:tx>
      <c:overlay val="0"/>
      <c:spPr>
        <a:noFill/>
        <a:ln w="0">
          <a:noFill/>
        </a:ln>
      </c:spPr>
    </c:title>
    <c:autoTitleDeleted val="0"/>
    <c:plotArea>
      <c:layout/>
      <c:barChart>
        <c:barDir val="bar"/>
        <c:grouping val="clustered"/>
        <c:varyColors val="0"/>
        <c:ser>
          <c:idx val="0"/>
          <c:order val="0"/>
          <c:tx>
            <c:strRef>
              <c:f>'Category Analysis'!$E$3</c:f>
              <c:strCache>
                <c:ptCount val="1"/>
                <c:pt idx="0">
                  <c:v>Net Revenue (₹)</c:v>
                </c:pt>
              </c:strCache>
            </c:strRef>
          </c:tx>
          <c:spPr>
            <a:solidFill>
              <a:srgbClr val="2E75B6"/>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'Category Analysis'!$A$4:$A$9</c:f>
              <c:strCache>
                <c:ptCount val="6"/>
                <c:pt idx="0">
                  <c:v>Electronics</c:v>
                </c:pt>
                <c:pt idx="1">
                  <c:v>Clothing</c:v>
                </c:pt>
                <c:pt idx="2">
                  <c:v>Home &amp; Kitchen</c:v>
                </c:pt>
                <c:pt idx="3">
                  <c:v>Books</c:v>
                </c:pt>
                <c:pt idx="4">
                  <c:v>Sports</c:v>
                </c:pt>
                <c:pt idx="5">
                  <c:v>Beauty</c:v>
                </c:pt>
              </c:strCache>
            </c:strRef>
          </c:cat>
          <c:val>
            <c:numRef>
              <c:f>'Category Analysis'!$E$4:$E$9</c:f>
              <c:numCache>
                <c:formatCode>#,##0</c:formatCode>
                <c:ptCount val="6"/>
                <c:pt idx="0">
                  <c:v>2963067</c:v>
                </c:pt>
                <c:pt idx="1">
                  <c:v>75476.800000000003</c:v>
                </c:pt>
                <c:pt idx="2">
                  <c:v>45239.75</c:v>
                </c:pt>
                <c:pt idx="3">
                  <c:v>13974.3</c:v>
                </c:pt>
                <c:pt idx="4">
                  <c:v>8089.25</c:v>
                </c:pt>
                <c:pt idx="5">
                  <c:v>7078.6</c:v>
                </c:pt>
              </c:numCache>
            </c:numRef>
          </c:val>
          <c:extLst>
            <c:ext xmlns:c16="http://schemas.microsoft.com/office/drawing/2014/chart" uri="{C3380CC4-5D6E-409C-BE32-E72D297353CC}">
              <c16:uniqueId val="{00000000-B32F-44D3-B2D0-E1225296CA71}"/>
            </c:ext>
          </c:extLst>
        </c:ser>
        <c:dLbls>
          <c:showLegendKey val="0"/>
          <c:showVal val="0"/>
          <c:showCatName val="0"/>
          <c:showSerName val="0"/>
          <c:showPercent val="0"/>
          <c:showBubbleSize val="0"/>
        </c:dLbls>
        <c:gapWidth val="150"/>
        <c:axId val="62027920"/>
        <c:axId val="49399637"/>
      </c:barChart>
      <c:catAx>
        <c:axId val="62027920"/>
        <c:scaling>
          <c:orientation val="minMax"/>
        </c:scaling>
        <c:delete val="0"/>
        <c:axPos val="l"/>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Net Revenue (₹)</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9399637"/>
        <c:crosses val="autoZero"/>
        <c:auto val="1"/>
        <c:lblAlgn val="ctr"/>
        <c:lblOffset val="100"/>
        <c:noMultiLvlLbl val="0"/>
      </c:catAx>
      <c:valAx>
        <c:axId val="49399637"/>
        <c:scaling>
          <c:orientation val="minMax"/>
        </c:scaling>
        <c:delete val="0"/>
        <c:axPos val="b"/>
        <c:majorGridlines>
          <c:spPr>
            <a:ln w="9360">
              <a:solidFill>
                <a:srgbClr val="878787"/>
              </a:solidFill>
              <a:round/>
            </a:ln>
          </c:spPr>
        </c:majorGridlines>
        <c:title>
          <c:tx>
            <c:rich>
              <a:bodyPr rot="0"/>
              <a:lstStyle/>
              <a:p>
                <a:pPr>
                  <a:defRPr sz="1000" b="1" strike="noStrike" spc="-1">
                    <a:solidFill>
                      <a:srgbClr val="000000"/>
                    </a:solidFill>
                    <a:latin typeface="Calibri"/>
                  </a:defRPr>
                </a:pPr>
                <a:r>
                  <a:rPr lang="en-IN" sz="1000" b="1" strike="noStrike" spc="-1">
                    <a:solidFill>
                      <a:srgbClr val="000000"/>
                    </a:solidFill>
                    <a:latin typeface="Calibri"/>
                  </a:rPr>
                  <a:t>Category</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2027920"/>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[Sales_Performance_Dashboard.xlsx]Monthly Revenue Trend!PivotTable1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Revenue Trend'!$B$3</c:f>
              <c:strCache>
                <c:ptCount val="1"/>
                <c:pt idx="0">
                  <c:v>Sum of Net Revenue (₹)</c:v>
                </c:pt>
              </c:strCache>
            </c:strRef>
          </c:tx>
          <c:spPr>
            <a:solidFill>
              <a:schemeClr val="accent1"/>
            </a:solidFill>
            <a:ln>
              <a:noFill/>
            </a:ln>
            <a:effectLst/>
          </c:spPr>
          <c:invertIfNegative val="0"/>
          <c:cat>
            <c:strRef>
              <c:f>'Monthly Revenue Trend'!$A$4:$A$6</c:f>
              <c:strCache>
                <c:ptCount val="2"/>
                <c:pt idx="0">
                  <c:v>Jan-23</c:v>
                </c:pt>
                <c:pt idx="1">
                  <c:v>Mar-23</c:v>
                </c:pt>
              </c:strCache>
            </c:strRef>
          </c:cat>
          <c:val>
            <c:numRef>
              <c:f>'Monthly Revenue Trend'!$B$4:$B$6</c:f>
              <c:numCache>
                <c:formatCode>"₹"\ #,##0</c:formatCode>
                <c:ptCount val="2"/>
                <c:pt idx="0">
                  <c:v>55994.600000000006</c:v>
                </c:pt>
                <c:pt idx="1">
                  <c:v>55800</c:v>
                </c:pt>
              </c:numCache>
            </c:numRef>
          </c:val>
          <c:extLst>
            <c:ext xmlns:c16="http://schemas.microsoft.com/office/drawing/2014/chart" uri="{C3380CC4-5D6E-409C-BE32-E72D297353CC}">
              <c16:uniqueId val="{00000000-1CE9-4335-AAC6-465ABDA10D09}"/>
            </c:ext>
          </c:extLst>
        </c:ser>
        <c:ser>
          <c:idx val="1"/>
          <c:order val="1"/>
          <c:tx>
            <c:strRef>
              <c:f>'Monthly Revenue Trend'!$C$3</c:f>
              <c:strCache>
                <c:ptCount val="1"/>
                <c:pt idx="0">
                  <c:v>Count of Order ID</c:v>
                </c:pt>
              </c:strCache>
            </c:strRef>
          </c:tx>
          <c:spPr>
            <a:solidFill>
              <a:schemeClr val="accent2"/>
            </a:solidFill>
            <a:ln>
              <a:noFill/>
            </a:ln>
            <a:effectLst/>
          </c:spPr>
          <c:invertIfNegative val="0"/>
          <c:cat>
            <c:strRef>
              <c:f>'Monthly Revenue Trend'!$A$4:$A$6</c:f>
              <c:strCache>
                <c:ptCount val="2"/>
                <c:pt idx="0">
                  <c:v>Jan-23</c:v>
                </c:pt>
                <c:pt idx="1">
                  <c:v>Mar-23</c:v>
                </c:pt>
              </c:strCache>
            </c:strRef>
          </c:cat>
          <c:val>
            <c:numRef>
              <c:f>'Monthly Revenue Trend'!$C$4:$C$6</c:f>
              <c:numCache>
                <c:formatCode>General</c:formatCode>
                <c:ptCount val="2"/>
                <c:pt idx="0">
                  <c:v>3</c:v>
                </c:pt>
                <c:pt idx="1">
                  <c:v>1</c:v>
                </c:pt>
              </c:numCache>
            </c:numRef>
          </c:val>
          <c:extLst>
            <c:ext xmlns:c16="http://schemas.microsoft.com/office/drawing/2014/chart" uri="{C3380CC4-5D6E-409C-BE32-E72D297353CC}">
              <c16:uniqueId val="{00000002-1CE9-4335-AAC6-465ABDA10D09}"/>
            </c:ext>
          </c:extLst>
        </c:ser>
        <c:dLbls>
          <c:showLegendKey val="0"/>
          <c:showVal val="0"/>
          <c:showCatName val="0"/>
          <c:showSerName val="0"/>
          <c:showPercent val="0"/>
          <c:showBubbleSize val="0"/>
        </c:dLbls>
        <c:gapWidth val="219"/>
        <c:overlap val="-27"/>
        <c:axId val="1646426288"/>
        <c:axId val="1646426768"/>
      </c:barChart>
      <c:catAx>
        <c:axId val="1646426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6426768"/>
        <c:crosses val="autoZero"/>
        <c:auto val="1"/>
        <c:lblAlgn val="ctr"/>
        <c:lblOffset val="100"/>
        <c:noMultiLvlLbl val="0"/>
      </c:catAx>
      <c:valAx>
        <c:axId val="164642676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6426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[Sales_Performance_Dashboard.xlsx]Category Breakdown !PivotTable2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 Breakdown '!$B$3:$B$5</c:f>
              <c:strCache>
                <c:ptCount val="1"/>
                <c:pt idx="0">
                  <c:v>Q1 - Sum of Net Revenue (₹)</c:v>
                </c:pt>
              </c:strCache>
            </c:strRef>
          </c:tx>
          <c:spPr>
            <a:solidFill>
              <a:schemeClr val="accent1"/>
            </a:solidFill>
            <a:ln>
              <a:noFill/>
            </a:ln>
            <a:effectLst/>
          </c:spPr>
          <c:invertIfNegative val="0"/>
          <c:cat>
            <c:strRef>
              <c:f>'Category Breakdown '!$A$6:$A$8</c:f>
              <c:strCache>
                <c:ptCount val="2"/>
                <c:pt idx="0">
                  <c:v>Books</c:v>
                </c:pt>
                <c:pt idx="1">
                  <c:v>Electronics</c:v>
                </c:pt>
              </c:strCache>
            </c:strRef>
          </c:cat>
          <c:val>
            <c:numRef>
              <c:f>'Category Breakdown '!$B$6:$B$8</c:f>
              <c:numCache>
                <c:formatCode>#,##0</c:formatCode>
                <c:ptCount val="2"/>
                <c:pt idx="0">
                  <c:v>995.59999999999991</c:v>
                </c:pt>
                <c:pt idx="1">
                  <c:v>110799</c:v>
                </c:pt>
              </c:numCache>
            </c:numRef>
          </c:val>
          <c:extLst>
            <c:ext xmlns:c16="http://schemas.microsoft.com/office/drawing/2014/chart" uri="{C3380CC4-5D6E-409C-BE32-E72D297353CC}">
              <c16:uniqueId val="{00000000-F374-4DFD-9C82-F31748CFB3FA}"/>
            </c:ext>
          </c:extLst>
        </c:ser>
        <c:ser>
          <c:idx val="1"/>
          <c:order val="1"/>
          <c:tx>
            <c:strRef>
              <c:f>'Category Breakdown '!$C$3:$C$5</c:f>
              <c:strCache>
                <c:ptCount val="1"/>
                <c:pt idx="0">
                  <c:v>Q1 - Sum of Units Sold</c:v>
                </c:pt>
              </c:strCache>
            </c:strRef>
          </c:tx>
          <c:spPr>
            <a:solidFill>
              <a:schemeClr val="accent2"/>
            </a:solidFill>
            <a:ln>
              <a:noFill/>
            </a:ln>
            <a:effectLst/>
          </c:spPr>
          <c:invertIfNegative val="0"/>
          <c:cat>
            <c:strRef>
              <c:f>'Category Breakdown '!$A$6:$A$8</c:f>
              <c:strCache>
                <c:ptCount val="2"/>
                <c:pt idx="0">
                  <c:v>Books</c:v>
                </c:pt>
                <c:pt idx="1">
                  <c:v>Electronics</c:v>
                </c:pt>
              </c:strCache>
            </c:strRef>
          </c:cat>
          <c:val>
            <c:numRef>
              <c:f>'Category Breakdown '!$C$6:$C$8</c:f>
              <c:numCache>
                <c:formatCode>General</c:formatCode>
                <c:ptCount val="2"/>
                <c:pt idx="0">
                  <c:v>2</c:v>
                </c:pt>
                <c:pt idx="1">
                  <c:v>2</c:v>
                </c:pt>
              </c:numCache>
            </c:numRef>
          </c:val>
          <c:extLst>
            <c:ext xmlns:c16="http://schemas.microsoft.com/office/drawing/2014/chart" uri="{C3380CC4-5D6E-409C-BE32-E72D297353CC}">
              <c16:uniqueId val="{00000001-F374-4DFD-9C82-F31748CFB3FA}"/>
            </c:ext>
          </c:extLst>
        </c:ser>
        <c:dLbls>
          <c:showLegendKey val="0"/>
          <c:showVal val="0"/>
          <c:showCatName val="0"/>
          <c:showSerName val="0"/>
          <c:showPercent val="0"/>
          <c:showBubbleSize val="0"/>
        </c:dLbls>
        <c:gapWidth val="219"/>
        <c:overlap val="-27"/>
        <c:axId val="1619767872"/>
        <c:axId val="1619759712"/>
      </c:barChart>
      <c:catAx>
        <c:axId val="1619767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9759712"/>
        <c:crosses val="autoZero"/>
        <c:auto val="1"/>
        <c:lblAlgn val="ctr"/>
        <c:lblOffset val="100"/>
        <c:noMultiLvlLbl val="0"/>
      </c:catAx>
      <c:valAx>
        <c:axId val="161975971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9767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[Sales_Performance_Dashboard.xlsx]Customer Segment!PivotTable3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 Segment'!$B$3:$B$4</c:f>
              <c:strCache>
                <c:ptCount val="1"/>
                <c:pt idx="0">
                  <c:v>Q1</c:v>
                </c:pt>
              </c:strCache>
            </c:strRef>
          </c:tx>
          <c:spPr>
            <a:solidFill>
              <a:schemeClr val="accent1"/>
            </a:solidFill>
            <a:ln>
              <a:noFill/>
            </a:ln>
            <a:effectLst/>
          </c:spPr>
          <c:invertIfNegative val="0"/>
          <c:cat>
            <c:strRef>
              <c:f>'Customer Segment'!$A$5:$A$7</c:f>
              <c:strCache>
                <c:ptCount val="2"/>
                <c:pt idx="0">
                  <c:v>Premium</c:v>
                </c:pt>
                <c:pt idx="1">
                  <c:v>Regular</c:v>
                </c:pt>
              </c:strCache>
            </c:strRef>
          </c:cat>
          <c:val>
            <c:numRef>
              <c:f>'Customer Segment'!$B$5:$B$7</c:f>
              <c:numCache>
                <c:formatCode>#,##0</c:formatCode>
                <c:ptCount val="2"/>
                <c:pt idx="0">
                  <c:v>111415.55</c:v>
                </c:pt>
                <c:pt idx="1">
                  <c:v>379.05</c:v>
                </c:pt>
              </c:numCache>
            </c:numRef>
          </c:val>
          <c:extLst>
            <c:ext xmlns:c16="http://schemas.microsoft.com/office/drawing/2014/chart" uri="{C3380CC4-5D6E-409C-BE32-E72D297353CC}">
              <c16:uniqueId val="{00000000-F272-4A25-A392-23C2D26F7E07}"/>
            </c:ext>
          </c:extLst>
        </c:ser>
        <c:dLbls>
          <c:showLegendKey val="0"/>
          <c:showVal val="0"/>
          <c:showCatName val="0"/>
          <c:showSerName val="0"/>
          <c:showPercent val="0"/>
          <c:showBubbleSize val="0"/>
        </c:dLbls>
        <c:gapWidth val="219"/>
        <c:overlap val="-27"/>
        <c:axId val="1646553888"/>
        <c:axId val="1646554368"/>
      </c:barChart>
      <c:catAx>
        <c:axId val="1646553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6554368"/>
        <c:crosses val="autoZero"/>
        <c:auto val="1"/>
        <c:lblAlgn val="ctr"/>
        <c:lblOffset val="100"/>
        <c:noMultiLvlLbl val="0"/>
      </c:catAx>
      <c:valAx>
        <c:axId val="16465543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6553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[Sales_Performance_Dashboard.xlsx]Top Products Top 10!PivotTable4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Products Top 10'!$B$3:$B$5</c:f>
              <c:strCache>
                <c:ptCount val="1"/>
                <c:pt idx="0">
                  <c:v>Books - Sum of Net Revenue (₹)</c:v>
                </c:pt>
              </c:strCache>
            </c:strRef>
          </c:tx>
          <c:spPr>
            <a:solidFill>
              <a:schemeClr val="accent1"/>
            </a:solidFill>
            <a:ln>
              <a:noFill/>
            </a:ln>
            <a:effectLst/>
          </c:spPr>
          <c:invertIfNegative val="0"/>
          <c:cat>
            <c:strRef>
              <c:f>'Top Products Top 10'!$A$6:$A$10</c:f>
              <c:strCache>
                <c:ptCount val="4"/>
                <c:pt idx="0">
                  <c:v>Atomic Habits</c:v>
                </c:pt>
                <c:pt idx="1">
                  <c:v>Dell Inspiron 15 Laptop</c:v>
                </c:pt>
                <c:pt idx="2">
                  <c:v>Samsung Galaxy S23</c:v>
                </c:pt>
                <c:pt idx="3">
                  <c:v>SQL for Data Analysis</c:v>
                </c:pt>
              </c:strCache>
            </c:strRef>
          </c:cat>
          <c:val>
            <c:numRef>
              <c:f>'Top Products Top 10'!$B$6:$B$10</c:f>
              <c:numCache>
                <c:formatCode>#,##0</c:formatCode>
                <c:ptCount val="4"/>
                <c:pt idx="0">
                  <c:v>379.05</c:v>
                </c:pt>
                <c:pt idx="3">
                  <c:v>616.54999999999995</c:v>
                </c:pt>
              </c:numCache>
            </c:numRef>
          </c:val>
          <c:extLst>
            <c:ext xmlns:c16="http://schemas.microsoft.com/office/drawing/2014/chart" uri="{C3380CC4-5D6E-409C-BE32-E72D297353CC}">
              <c16:uniqueId val="{00000000-29F2-48B9-9B4A-CCEEC0E9C1A3}"/>
            </c:ext>
          </c:extLst>
        </c:ser>
        <c:ser>
          <c:idx val="1"/>
          <c:order val="1"/>
          <c:tx>
            <c:strRef>
              <c:f>'Top Products Top 10'!$C$3:$C$5</c:f>
              <c:strCache>
                <c:ptCount val="1"/>
                <c:pt idx="0">
                  <c:v>Books - Sum of Units Sold</c:v>
                </c:pt>
              </c:strCache>
            </c:strRef>
          </c:tx>
          <c:spPr>
            <a:solidFill>
              <a:schemeClr val="accent2"/>
            </a:solidFill>
            <a:ln>
              <a:noFill/>
            </a:ln>
            <a:effectLst/>
          </c:spPr>
          <c:invertIfNegative val="0"/>
          <c:cat>
            <c:strRef>
              <c:f>'Top Products Top 10'!$A$6:$A$10</c:f>
              <c:strCache>
                <c:ptCount val="4"/>
                <c:pt idx="0">
                  <c:v>Atomic Habits</c:v>
                </c:pt>
                <c:pt idx="1">
                  <c:v>Dell Inspiron 15 Laptop</c:v>
                </c:pt>
                <c:pt idx="2">
                  <c:v>Samsung Galaxy S23</c:v>
                </c:pt>
                <c:pt idx="3">
                  <c:v>SQL for Data Analysis</c:v>
                </c:pt>
              </c:strCache>
            </c:strRef>
          </c:cat>
          <c:val>
            <c:numRef>
              <c:f>'Top Products Top 10'!$C$6:$C$10</c:f>
              <c:numCache>
                <c:formatCode>General</c:formatCode>
                <c:ptCount val="4"/>
                <c:pt idx="0">
                  <c:v>1</c:v>
                </c:pt>
                <c:pt idx="3">
                  <c:v>1</c:v>
                </c:pt>
              </c:numCache>
            </c:numRef>
          </c:val>
          <c:extLst>
            <c:ext xmlns:c16="http://schemas.microsoft.com/office/drawing/2014/chart" uri="{C3380CC4-5D6E-409C-BE32-E72D297353CC}">
              <c16:uniqueId val="{00000001-29F2-48B9-9B4A-CCEEC0E9C1A3}"/>
            </c:ext>
          </c:extLst>
        </c:ser>
        <c:ser>
          <c:idx val="2"/>
          <c:order val="2"/>
          <c:tx>
            <c:strRef>
              <c:f>'Top Products Top 10'!$D$3:$D$5</c:f>
              <c:strCache>
                <c:ptCount val="1"/>
                <c:pt idx="0">
                  <c:v>Electronics - Sum of Net Revenue (₹)</c:v>
                </c:pt>
              </c:strCache>
            </c:strRef>
          </c:tx>
          <c:spPr>
            <a:solidFill>
              <a:schemeClr val="accent3"/>
            </a:solidFill>
            <a:ln>
              <a:noFill/>
            </a:ln>
            <a:effectLst/>
          </c:spPr>
          <c:invertIfNegative val="0"/>
          <c:cat>
            <c:strRef>
              <c:f>'Top Products Top 10'!$A$6:$A$10</c:f>
              <c:strCache>
                <c:ptCount val="4"/>
                <c:pt idx="0">
                  <c:v>Atomic Habits</c:v>
                </c:pt>
                <c:pt idx="1">
                  <c:v>Dell Inspiron 15 Laptop</c:v>
                </c:pt>
                <c:pt idx="2">
                  <c:v>Samsung Galaxy S23</c:v>
                </c:pt>
                <c:pt idx="3">
                  <c:v>SQL for Data Analysis</c:v>
                </c:pt>
              </c:strCache>
            </c:strRef>
          </c:cat>
          <c:val>
            <c:numRef>
              <c:f>'Top Products Top 10'!$D$6:$D$10</c:f>
              <c:numCache>
                <c:formatCode>#,##0</c:formatCode>
                <c:ptCount val="4"/>
                <c:pt idx="1">
                  <c:v>55800</c:v>
                </c:pt>
                <c:pt idx="2">
                  <c:v>54999</c:v>
                </c:pt>
              </c:numCache>
            </c:numRef>
          </c:val>
          <c:extLst>
            <c:ext xmlns:c16="http://schemas.microsoft.com/office/drawing/2014/chart" uri="{C3380CC4-5D6E-409C-BE32-E72D297353CC}">
              <c16:uniqueId val="{00000002-46ED-4A02-9F02-0F492994A043}"/>
            </c:ext>
          </c:extLst>
        </c:ser>
        <c:ser>
          <c:idx val="3"/>
          <c:order val="3"/>
          <c:tx>
            <c:strRef>
              <c:f>'Top Products Top 10'!$E$3:$E$5</c:f>
              <c:strCache>
                <c:ptCount val="1"/>
                <c:pt idx="0">
                  <c:v>Electronics - Sum of Units Sold</c:v>
                </c:pt>
              </c:strCache>
            </c:strRef>
          </c:tx>
          <c:spPr>
            <a:solidFill>
              <a:schemeClr val="accent4"/>
            </a:solidFill>
            <a:ln>
              <a:noFill/>
            </a:ln>
            <a:effectLst/>
          </c:spPr>
          <c:invertIfNegative val="0"/>
          <c:cat>
            <c:strRef>
              <c:f>'Top Products Top 10'!$A$6:$A$10</c:f>
              <c:strCache>
                <c:ptCount val="4"/>
                <c:pt idx="0">
                  <c:v>Atomic Habits</c:v>
                </c:pt>
                <c:pt idx="1">
                  <c:v>Dell Inspiron 15 Laptop</c:v>
                </c:pt>
                <c:pt idx="2">
                  <c:v>Samsung Galaxy S23</c:v>
                </c:pt>
                <c:pt idx="3">
                  <c:v>SQL for Data Analysis</c:v>
                </c:pt>
              </c:strCache>
            </c:strRef>
          </c:cat>
          <c:val>
            <c:numRef>
              <c:f>'Top Products Top 10'!$E$6:$E$10</c:f>
              <c:numCache>
                <c:formatCode>General</c:formatCode>
                <c:ptCount val="4"/>
                <c:pt idx="1">
                  <c:v>1</c:v>
                </c:pt>
                <c:pt idx="2">
                  <c:v>1</c:v>
                </c:pt>
              </c:numCache>
            </c:numRef>
          </c:val>
          <c:extLst>
            <c:ext xmlns:c16="http://schemas.microsoft.com/office/drawing/2014/chart" uri="{C3380CC4-5D6E-409C-BE32-E72D297353CC}">
              <c16:uniqueId val="{00000003-46ED-4A02-9F02-0F492994A043}"/>
            </c:ext>
          </c:extLst>
        </c:ser>
        <c:dLbls>
          <c:showLegendKey val="0"/>
          <c:showVal val="0"/>
          <c:showCatName val="0"/>
          <c:showSerName val="0"/>
          <c:showPercent val="0"/>
          <c:showBubbleSize val="0"/>
        </c:dLbls>
        <c:gapWidth val="219"/>
        <c:overlap val="-27"/>
        <c:axId val="1847380208"/>
        <c:axId val="1847381168"/>
      </c:barChart>
      <c:catAx>
        <c:axId val="1847380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381168"/>
        <c:crosses val="autoZero"/>
        <c:auto val="1"/>
        <c:lblAlgn val="ctr"/>
        <c:lblOffset val="100"/>
        <c:noMultiLvlLbl val="0"/>
      </c:catAx>
      <c:valAx>
        <c:axId val="18473811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380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[Sales_Performance_Dashboard.xlsx]Payment Analysis!PivotTable5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'Payment Analysis'!$B$3:$B$5</c:f>
              <c:strCache>
                <c:ptCount val="1"/>
                <c:pt idx="0">
                  <c:v>Jan-23 - Sum of Net Revenue (₹)</c:v>
                </c:pt>
              </c:strCache>
            </c:strRef>
          </c:tx>
          <c:spPr>
            <a:solidFill>
              <a:schemeClr val="accent1"/>
            </a:solidFill>
            <a:ln>
              <a:noFill/>
            </a:ln>
            <a:effectLst/>
          </c:spPr>
          <c:invertIfNegative val="0"/>
          <c:cat>
            <c:strRef>
              <c:f>'Payment Analysis'!$A$6:$A$8</c:f>
              <c:strCache>
                <c:ptCount val="2"/>
                <c:pt idx="0">
                  <c:v>Credit Card</c:v>
                </c:pt>
                <c:pt idx="1">
                  <c:v>UPI</c:v>
                </c:pt>
              </c:strCache>
            </c:strRef>
          </c:cat>
          <c:val>
            <c:numRef>
              <c:f>'Payment Analysis'!$B$6:$B$8</c:f>
              <c:numCache>
                <c:formatCode>#,##0</c:formatCode>
                <c:ptCount val="2"/>
                <c:pt idx="1">
                  <c:v>55994.600000000006</c:v>
                </c:pt>
              </c:numCache>
            </c:numRef>
          </c:val>
          <c:extLst>
            <c:ext xmlns:c16="http://schemas.microsoft.com/office/drawing/2014/chart" uri="{C3380CC4-5D6E-409C-BE32-E72D297353CC}">
              <c16:uniqueId val="{00000000-6038-43F1-ADDB-18B3D0958E0B}"/>
            </c:ext>
          </c:extLst>
        </c:ser>
        <c:ser>
          <c:idx val="1"/>
          <c:order val="1"/>
          <c:tx>
            <c:strRef>
              <c:f>'Payment Analysis'!$C$3:$C$5</c:f>
              <c:strCache>
                <c:ptCount val="1"/>
                <c:pt idx="0">
                  <c:v>Jan-23 - Count of Order ID</c:v>
                </c:pt>
              </c:strCache>
            </c:strRef>
          </c:tx>
          <c:spPr>
            <a:solidFill>
              <a:schemeClr val="accent2"/>
            </a:solidFill>
            <a:ln>
              <a:noFill/>
            </a:ln>
            <a:effectLst/>
          </c:spPr>
          <c:invertIfNegative val="0"/>
          <c:cat>
            <c:strRef>
              <c:f>'Payment Analysis'!$A$6:$A$8</c:f>
              <c:strCache>
                <c:ptCount val="2"/>
                <c:pt idx="0">
                  <c:v>Credit Card</c:v>
                </c:pt>
                <c:pt idx="1">
                  <c:v>UPI</c:v>
                </c:pt>
              </c:strCache>
            </c:strRef>
          </c:cat>
          <c:val>
            <c:numRef>
              <c:f>'Payment Analysis'!$C$6:$C$8</c:f>
              <c:numCache>
                <c:formatCode>General</c:formatCode>
                <c:ptCount val="2"/>
                <c:pt idx="1">
                  <c:v>3</c:v>
                </c:pt>
              </c:numCache>
            </c:numRef>
          </c:val>
          <c:extLst>
            <c:ext xmlns:c16="http://schemas.microsoft.com/office/drawing/2014/chart" uri="{C3380CC4-5D6E-409C-BE32-E72D297353CC}">
              <c16:uniqueId val="{00000001-6038-43F1-ADDB-18B3D0958E0B}"/>
            </c:ext>
          </c:extLst>
        </c:ser>
        <c:ser>
          <c:idx val="2"/>
          <c:order val="2"/>
          <c:tx>
            <c:strRef>
              <c:f>'Payment Analysis'!$D$3:$D$5</c:f>
              <c:strCache>
                <c:ptCount val="1"/>
                <c:pt idx="0">
                  <c:v>Mar-23 - Sum of Net Revenue (₹)</c:v>
                </c:pt>
              </c:strCache>
            </c:strRef>
          </c:tx>
          <c:spPr>
            <a:solidFill>
              <a:schemeClr val="accent3"/>
            </a:solidFill>
            <a:ln>
              <a:noFill/>
            </a:ln>
            <a:effectLst/>
          </c:spPr>
          <c:invertIfNegative val="0"/>
          <c:cat>
            <c:strRef>
              <c:f>'Payment Analysis'!$A$6:$A$8</c:f>
              <c:strCache>
                <c:ptCount val="2"/>
                <c:pt idx="0">
                  <c:v>Credit Card</c:v>
                </c:pt>
                <c:pt idx="1">
                  <c:v>UPI</c:v>
                </c:pt>
              </c:strCache>
            </c:strRef>
          </c:cat>
          <c:val>
            <c:numRef>
              <c:f>'Payment Analysis'!$D$6:$D$8</c:f>
              <c:numCache>
                <c:formatCode>#,##0</c:formatCode>
                <c:ptCount val="2"/>
                <c:pt idx="0">
                  <c:v>55800</c:v>
                </c:pt>
              </c:numCache>
            </c:numRef>
          </c:val>
          <c:extLst>
            <c:ext xmlns:c16="http://schemas.microsoft.com/office/drawing/2014/chart" uri="{C3380CC4-5D6E-409C-BE32-E72D297353CC}">
              <c16:uniqueId val="{00000000-152D-4FC7-95B3-A463EAF657FB}"/>
            </c:ext>
          </c:extLst>
        </c:ser>
        <c:ser>
          <c:idx val="3"/>
          <c:order val="3"/>
          <c:tx>
            <c:strRef>
              <c:f>'Payment Analysis'!$E$3:$E$5</c:f>
              <c:strCache>
                <c:ptCount val="1"/>
                <c:pt idx="0">
                  <c:v>Mar-23 - Count of Order ID</c:v>
                </c:pt>
              </c:strCache>
            </c:strRef>
          </c:tx>
          <c:spPr>
            <a:solidFill>
              <a:schemeClr val="accent4"/>
            </a:solidFill>
            <a:ln>
              <a:noFill/>
            </a:ln>
            <a:effectLst/>
          </c:spPr>
          <c:invertIfNegative val="0"/>
          <c:cat>
            <c:strRef>
              <c:f>'Payment Analysis'!$A$6:$A$8</c:f>
              <c:strCache>
                <c:ptCount val="2"/>
                <c:pt idx="0">
                  <c:v>Credit Card</c:v>
                </c:pt>
                <c:pt idx="1">
                  <c:v>UPI</c:v>
                </c:pt>
              </c:strCache>
            </c:strRef>
          </c:cat>
          <c:val>
            <c:numRef>
              <c:f>'Payment Analysis'!$E$6:$E$8</c:f>
              <c:numCache>
                <c:formatCode>General</c:formatCode>
                <c:ptCount val="2"/>
                <c:pt idx="0">
                  <c:v>1</c:v>
                </c:pt>
              </c:numCache>
            </c:numRef>
          </c:val>
          <c:extLst>
            <c:ext xmlns:c16="http://schemas.microsoft.com/office/drawing/2014/chart" uri="{C3380CC4-5D6E-409C-BE32-E72D297353CC}">
              <c16:uniqueId val="{00000001-152D-4FC7-95B3-A463EAF657FB}"/>
            </c:ext>
          </c:extLst>
        </c:ser>
        <c:dLbls>
          <c:showLegendKey val="0"/>
          <c:showVal val="0"/>
          <c:showCatName val="0"/>
          <c:showSerName val="0"/>
          <c:showPercent val="0"/>
          <c:showBubbleSize val="0"/>
        </c:dLbls>
        <c:gapWidth val="219"/>
        <c:overlap val="-27"/>
        <c:axId val="1955437488"/>
        <c:axId val="1965359216"/>
      </c:barChart>
      <c:catAx>
        <c:axId val="1955437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5359216"/>
        <c:crosses val="autoZero"/>
        <c:auto val="1"/>
        <c:lblAlgn val="ctr"/>
        <c:lblOffset val="100"/>
        <c:noMultiLvlLbl val="0"/>
      </c:catAx>
      <c:valAx>
        <c:axId val="19653592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5437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Revenue Share by Segment</a:t>
            </a:r>
          </a:p>
        </c:rich>
      </c:tx>
      <c:overlay val="0"/>
      <c:spPr>
        <a:noFill/>
        <a:ln w="0">
          <a:noFill/>
        </a:ln>
      </c:spPr>
    </c:title>
    <c:autoTitleDeleted val="0"/>
    <c:plotArea>
      <c:layout/>
      <c:pieChart>
        <c:varyColors val="1"/>
        <c:ser>
          <c:idx val="0"/>
          <c:order val="0"/>
          <c:tx>
            <c:strRef>
              <c:f>'Customer Analysis'!$D$3</c:f>
              <c:strCache>
                <c:ptCount val="1"/>
                <c:pt idx="0">
                  <c:v>Net Revenue (₹)</c:v>
                </c:pt>
              </c:strCache>
            </c:strRef>
          </c:tx>
          <c:spPr>
            <a:solidFill>
              <a:srgbClr val="4F81BD"/>
            </a:solidFill>
            <a:ln w="0">
              <a:noFill/>
            </a:ln>
          </c:spPr>
          <c:dPt>
            <c:idx val="0"/>
            <c:bubble3D val="0"/>
            <c:extLst>
              <c:ext xmlns:c16="http://schemas.microsoft.com/office/drawing/2014/chart" uri="{C3380CC4-5D6E-409C-BE32-E72D297353CC}">
                <c16:uniqueId val="{00000001-F844-4E56-82E1-988ABC494CFE}"/>
              </c:ext>
            </c:extLst>
          </c:dPt>
          <c:dPt>
            <c:idx val="1"/>
            <c:bubble3D val="0"/>
            <c:spPr>
              <a:solidFill>
                <a:srgbClr val="C0504D"/>
              </a:solidFill>
              <a:ln w="0">
                <a:noFill/>
              </a:ln>
            </c:spPr>
            <c:extLst>
              <c:ext xmlns:c16="http://schemas.microsoft.com/office/drawing/2014/chart" uri="{C3380CC4-5D6E-409C-BE32-E72D297353CC}">
                <c16:uniqueId val="{00000003-F844-4E56-82E1-988ABC494CFE}"/>
              </c:ext>
            </c:extLst>
          </c:dPt>
          <c:dPt>
            <c:idx val="2"/>
            <c:bubble3D val="0"/>
            <c:spPr>
              <a:solidFill>
                <a:srgbClr val="9BBB59"/>
              </a:solidFill>
              <a:ln w="0">
                <a:noFill/>
              </a:ln>
            </c:spPr>
            <c:extLst>
              <c:ext xmlns:c16="http://schemas.microsoft.com/office/drawing/2014/chart" uri="{C3380CC4-5D6E-409C-BE32-E72D297353CC}">
                <c16:uniqueId val="{00000005-F844-4E56-82E1-988ABC494CFE}"/>
              </c:ext>
            </c:extLst>
          </c:dPt>
          <c:dLbls>
            <c:dLbl>
              <c:idx val="0"/>
              <c:spPr/>
              <c:txPr>
                <a:bodyPr wrap="square"/>
                <a:lstStyle/>
                <a:p>
                  <a:pPr>
                    <a:defRPr sz="1000" b="0" strike="noStrike" spc="-1">
                      <a:solidFill>
                        <a:srgbClr val="000000"/>
                      </a:solidFill>
                      <a:latin typeface="Calibri"/>
                    </a:defRPr>
                  </a:pPr>
                  <a:endParaRPr lang="en-US"/>
                </a:p>
              </c:txPr>
              <c:dLblPos val="bestFit"/>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1-F844-4E56-82E1-988ABC494CFE}"/>
                </c:ext>
              </c:extLst>
            </c:dLbl>
            <c:dLbl>
              <c:idx val="1"/>
              <c:spPr/>
              <c:txPr>
                <a:bodyPr wrap="square"/>
                <a:lstStyle/>
                <a:p>
                  <a:pPr>
                    <a:defRPr sz="1000" b="0" strike="noStrike" spc="-1">
                      <a:solidFill>
                        <a:srgbClr val="000000"/>
                      </a:solidFill>
                      <a:latin typeface="Calibri"/>
                    </a:defRPr>
                  </a:pPr>
                  <a:endParaRPr lang="en-US"/>
                </a:p>
              </c:txPr>
              <c:dLblPos val="bestFit"/>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3-F844-4E56-82E1-988ABC494CFE}"/>
                </c:ext>
              </c:extLst>
            </c:dLbl>
            <c:dLbl>
              <c:idx val="2"/>
              <c:spPr/>
              <c:txPr>
                <a:bodyPr wrap="square"/>
                <a:lstStyle/>
                <a:p>
                  <a:pPr>
                    <a:defRPr sz="1000" b="0" strike="noStrike" spc="-1">
                      <a:solidFill>
                        <a:srgbClr val="000000"/>
                      </a:solidFill>
                      <a:latin typeface="Calibri"/>
                    </a:defRPr>
                  </a:pPr>
                  <a:endParaRPr lang="en-US"/>
                </a:p>
              </c:txPr>
              <c:dLblPos val="bestFit"/>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5-F844-4E56-82E1-988ABC494CFE}"/>
                </c:ext>
              </c:extLst>
            </c:dLbl>
            <c:spPr>
              <a:noFill/>
              <a:ln>
                <a:noFill/>
              </a:ln>
              <a:effectLst/>
            </c:spPr>
            <c:txPr>
              <a:bodyPr wrap="square"/>
              <a:lstStyle/>
              <a:p>
                <a:pPr>
                  <a:defRPr sz="1000" b="0" strike="noStrike" spc="-1">
                    <a:solidFill>
                      <a:srgbClr val="000000"/>
                    </a:solidFill>
                    <a:latin typeface="Calibri"/>
                  </a:defRPr>
                </a:pPr>
                <a:endParaRPr lang="en-US"/>
              </a:p>
            </c:txPr>
            <c:dLblPos val="bestFit"/>
            <c:showLegendKey val="1"/>
            <c:showVal val="1"/>
            <c:showCatName val="1"/>
            <c:showSerName val="1"/>
            <c:showPercent val="1"/>
            <c:showBubbleSize val="1"/>
            <c:separator>; </c:separator>
            <c:showLeaderLines val="1"/>
            <c:extLst>
              <c:ext xmlns:c15="http://schemas.microsoft.com/office/drawing/2012/chart" uri="{CE6537A1-D6FC-4f65-9D91-7224C49458BB}"/>
            </c:extLst>
          </c:dLbls>
          <c:cat>
            <c:strRef>
              <c:f>'Customer Analysis'!$A$4:$A$6</c:f>
              <c:strCache>
                <c:ptCount val="3"/>
                <c:pt idx="0">
                  <c:v>VIP</c:v>
                </c:pt>
                <c:pt idx="1">
                  <c:v>Premium</c:v>
                </c:pt>
                <c:pt idx="2">
                  <c:v>Regular</c:v>
                </c:pt>
              </c:strCache>
            </c:strRef>
          </c:cat>
          <c:val>
            <c:numRef>
              <c:f>'Customer Analysis'!$D$4:$D$6</c:f>
              <c:numCache>
                <c:formatCode>#,##0</c:formatCode>
                <c:ptCount val="3"/>
                <c:pt idx="0">
                  <c:v>2125083.7000000002</c:v>
                </c:pt>
                <c:pt idx="1">
                  <c:v>855708.05</c:v>
                </c:pt>
                <c:pt idx="2">
                  <c:v>132133.95000000001</c:v>
                </c:pt>
              </c:numCache>
            </c:numRef>
          </c:val>
          <c:extLst>
            <c:ext xmlns:c16="http://schemas.microsoft.com/office/drawing/2014/chart" uri="{C3380CC4-5D6E-409C-BE32-E72D297353CC}">
              <c16:uniqueId val="{00000006-F844-4E56-82E1-988ABC494CFE}"/>
            </c:ext>
          </c:extLst>
        </c:ser>
        <c:dLbls>
          <c:showLegendKey val="0"/>
          <c:showVal val="0"/>
          <c:showCatName val="0"/>
          <c:showSerName val="0"/>
          <c:showPercent val="0"/>
          <c:showBubbleSize val="0"/>
          <c:showLeaderLines val="1"/>
        </c:dLbls>
        <c:firstSliceAng val="0"/>
      </c:pieChart>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_rels/drawing8.xml.rels><?xml version="1.0" encoding="UTF-8" standalone="yes"?>
<Relationships xmlns="http://schemas.openxmlformats.org/package/2006/relationships"><Relationship Id="rId1" Type="http://schemas.openxmlformats.org/officeDocument/2006/relationships/chart" Target="../charts/chart9.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8</xdr:row>
      <xdr:rowOff>0</xdr:rowOff>
    </xdr:from>
    <xdr:to>
      <xdr:col>10</xdr:col>
      <xdr:colOff>495000</xdr:colOff>
      <xdr:row>34</xdr:row>
      <xdr:rowOff>60886</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514573</xdr:colOff>
      <xdr:row>7</xdr:row>
      <xdr:rowOff>58569</xdr:rowOff>
    </xdr:from>
    <xdr:to>
      <xdr:col>27</xdr:col>
      <xdr:colOff>21026</xdr:colOff>
      <xdr:row>33</xdr:row>
      <xdr:rowOff>18490</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17</xdr:row>
      <xdr:rowOff>0</xdr:rowOff>
    </xdr:from>
    <xdr:to>
      <xdr:col>8</xdr:col>
      <xdr:colOff>955800</xdr:colOff>
      <xdr:row>43</xdr:row>
      <xdr:rowOff>89490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0</xdr:colOff>
      <xdr:row>2</xdr:row>
      <xdr:rowOff>0</xdr:rowOff>
    </xdr:from>
    <xdr:to>
      <xdr:col>21</xdr:col>
      <xdr:colOff>580680</xdr:colOff>
      <xdr:row>29</xdr:row>
      <xdr:rowOff>169200</xdr:rowOff>
    </xdr:to>
    <xdr:graphicFrame macro="">
      <xdr:nvGraphicFramePr>
        <xdr:cNvPr id="3" name="Chart 1">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0</xdr:colOff>
      <xdr:row>2</xdr:row>
      <xdr:rowOff>10477</xdr:rowOff>
    </xdr:from>
    <xdr:to>
      <xdr:col>11</xdr:col>
      <xdr:colOff>304800</xdr:colOff>
      <xdr:row>17</xdr:row>
      <xdr:rowOff>46672</xdr:rowOff>
    </xdr:to>
    <xdr:graphicFrame macro="">
      <xdr:nvGraphicFramePr>
        <xdr:cNvPr id="2" name="Chart 1">
          <a:extLst>
            <a:ext uri="{FF2B5EF4-FFF2-40B4-BE49-F238E27FC236}">
              <a16:creationId xmlns:a16="http://schemas.microsoft.com/office/drawing/2014/main" id="{564B9F64-E8CB-8084-0E5A-C844BFFAB9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306705</xdr:colOff>
      <xdr:row>2</xdr:row>
      <xdr:rowOff>76200</xdr:rowOff>
    </xdr:from>
    <xdr:to>
      <xdr:col>15</xdr:col>
      <xdr:colOff>320041</xdr:colOff>
      <xdr:row>16</xdr:row>
      <xdr:rowOff>19050</xdr:rowOff>
    </xdr:to>
    <mc:AlternateContent xmlns:mc="http://schemas.openxmlformats.org/markup-compatibility/2006" xmlns:a14="http://schemas.microsoft.com/office/drawing/2010/main">
      <mc:Choice Requires="a14">
        <xdr:graphicFrame macro="">
          <xdr:nvGraphicFramePr>
            <xdr:cNvPr id="3" name="Quarter">
              <a:extLst>
                <a:ext uri="{FF2B5EF4-FFF2-40B4-BE49-F238E27FC236}">
                  <a16:creationId xmlns:a16="http://schemas.microsoft.com/office/drawing/2014/main" id="{707A3BDB-C6FC-AE88-AEEB-6C332E0C0638}"/>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9279255" y="438150"/>
              <a:ext cx="1845945" cy="24726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38100</xdr:colOff>
      <xdr:row>2</xdr:row>
      <xdr:rowOff>102870</xdr:rowOff>
    </xdr:from>
    <xdr:to>
      <xdr:col>19</xdr:col>
      <xdr:colOff>38099</xdr:colOff>
      <xdr:row>16</xdr:row>
      <xdr:rowOff>20955</xdr:rowOff>
    </xdr:to>
    <mc:AlternateContent xmlns:mc="http://schemas.openxmlformats.org/markup-compatibility/2006" xmlns:a14="http://schemas.microsoft.com/office/drawing/2010/main">
      <mc:Choice Requires="a14">
        <xdr:graphicFrame macro="">
          <xdr:nvGraphicFramePr>
            <xdr:cNvPr id="4" name="Segment">
              <a:extLst>
                <a:ext uri="{FF2B5EF4-FFF2-40B4-BE49-F238E27FC236}">
                  <a16:creationId xmlns:a16="http://schemas.microsoft.com/office/drawing/2014/main" id="{42E4EF82-924D-B17E-C57B-50729076824B}"/>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1449050" y="462915"/>
              <a:ext cx="1828800" cy="24498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350520</xdr:colOff>
      <xdr:row>2</xdr:row>
      <xdr:rowOff>78105</xdr:rowOff>
    </xdr:from>
    <xdr:to>
      <xdr:col>22</xdr:col>
      <xdr:colOff>344805</xdr:colOff>
      <xdr:row>16</xdr:row>
      <xdr:rowOff>15240</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4CA23AD7-ACB0-F694-C202-55A471721AE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3592175" y="440055"/>
              <a:ext cx="1821180" cy="24745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211455</xdr:colOff>
      <xdr:row>10</xdr:row>
      <xdr:rowOff>6667</xdr:rowOff>
    </xdr:from>
    <xdr:to>
      <xdr:col>7</xdr:col>
      <xdr:colOff>1064895</xdr:colOff>
      <xdr:row>25</xdr:row>
      <xdr:rowOff>44767</xdr:rowOff>
    </xdr:to>
    <xdr:graphicFrame macro="">
      <xdr:nvGraphicFramePr>
        <xdr:cNvPr id="2" name="Chart 1">
          <a:extLst>
            <a:ext uri="{FF2B5EF4-FFF2-40B4-BE49-F238E27FC236}">
              <a16:creationId xmlns:a16="http://schemas.microsoft.com/office/drawing/2014/main" id="{49A79775-1FA9-A0AD-0B1A-E2DA8189D9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198120</xdr:colOff>
      <xdr:row>9</xdr:row>
      <xdr:rowOff>101917</xdr:rowOff>
    </xdr:from>
    <xdr:to>
      <xdr:col>5</xdr:col>
      <xdr:colOff>464820</xdr:colOff>
      <xdr:row>24</xdr:row>
      <xdr:rowOff>145732</xdr:rowOff>
    </xdr:to>
    <xdr:graphicFrame macro="">
      <xdr:nvGraphicFramePr>
        <xdr:cNvPr id="2" name="Chart 1">
          <a:extLst>
            <a:ext uri="{FF2B5EF4-FFF2-40B4-BE49-F238E27FC236}">
              <a16:creationId xmlns:a16="http://schemas.microsoft.com/office/drawing/2014/main" id="{E3ED7F9B-B1A3-8098-A72B-E22A994FEF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188035</xdr:colOff>
      <xdr:row>13</xdr:row>
      <xdr:rowOff>143042</xdr:rowOff>
    </xdr:from>
    <xdr:to>
      <xdr:col>5</xdr:col>
      <xdr:colOff>1333499</xdr:colOff>
      <xdr:row>28</xdr:row>
      <xdr:rowOff>179237</xdr:rowOff>
    </xdr:to>
    <xdr:graphicFrame macro="">
      <xdr:nvGraphicFramePr>
        <xdr:cNvPr id="2" name="Chart 1">
          <a:extLst>
            <a:ext uri="{FF2B5EF4-FFF2-40B4-BE49-F238E27FC236}">
              <a16:creationId xmlns:a16="http://schemas.microsoft.com/office/drawing/2014/main" id="{DDFEDD22-BD97-5C9C-BE05-988C9C8FE4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1114425</xdr:colOff>
      <xdr:row>15</xdr:row>
      <xdr:rowOff>132397</xdr:rowOff>
    </xdr:from>
    <xdr:to>
      <xdr:col>9</xdr:col>
      <xdr:colOff>809625</xdr:colOff>
      <xdr:row>30</xdr:row>
      <xdr:rowOff>178117</xdr:rowOff>
    </xdr:to>
    <xdr:graphicFrame macro="">
      <xdr:nvGraphicFramePr>
        <xdr:cNvPr id="2" name="Chart 1">
          <a:extLst>
            <a:ext uri="{FF2B5EF4-FFF2-40B4-BE49-F238E27FC236}">
              <a16:creationId xmlns:a16="http://schemas.microsoft.com/office/drawing/2014/main" id="{7D1B2EA0-19FA-4AAC-F3C6-8D47C81508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editAs="oneCell">
    <xdr:from>
      <xdr:col>7</xdr:col>
      <xdr:colOff>257175</xdr:colOff>
      <xdr:row>0</xdr:row>
      <xdr:rowOff>133350</xdr:rowOff>
    </xdr:from>
    <xdr:to>
      <xdr:col>16</xdr:col>
      <xdr:colOff>512055</xdr:colOff>
      <xdr:row>24</xdr:row>
      <xdr:rowOff>75825</xdr:rowOff>
    </xdr:to>
    <xdr:graphicFrame macro="">
      <xdr:nvGraphicFramePr>
        <xdr:cNvPr id="4" name="Chart 1">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ey Shinde" refreshedDate="46167.660233912036" createdVersion="8" refreshedVersion="8" minRefreshableVersion="3" recordCount="107" xr:uid="{134B50D6-D39F-4B90-91A5-2D3AB794CF6F}">
  <cacheSource type="worksheet">
    <worksheetSource name="Table1"/>
  </cacheSource>
  <cacheFields count="18">
    <cacheField name="Order ID" numFmtId="0">
      <sharedItems containsSemiMixedTypes="0" containsString="0" containsNumber="1" containsInteger="1" minValue="1" maxValue="72"/>
    </cacheField>
    <cacheField name="Order Date" numFmtId="0">
      <sharedItems/>
    </cacheField>
    <cacheField name="Month" numFmtId="0">
      <sharedItems count="12">
        <s v="Jan-23"/>
        <s v="Feb-23"/>
        <s v="Mar-23"/>
        <s v="Apr-23"/>
        <s v="May-23"/>
        <s v="Jun-23"/>
        <s v="Jul-23"/>
        <s v="Aug-23"/>
        <s v="Sep-23"/>
        <s v="Oct-23"/>
        <s v="Nov-23"/>
        <s v="Dec-23"/>
      </sharedItems>
    </cacheField>
    <cacheField name="Quarter" numFmtId="0">
      <sharedItems count="4">
        <s v="Q1"/>
        <s v="Q2"/>
        <s v="Q3"/>
        <s v="Q4"/>
      </sharedItems>
    </cacheField>
    <cacheField name="Customer Name" numFmtId="0">
      <sharedItems/>
    </cacheField>
    <cacheField name="Segment" numFmtId="0">
      <sharedItems count="3">
        <s v="VIP"/>
        <s v="Regular"/>
        <s v="Premium"/>
      </sharedItems>
    </cacheField>
    <cacheField name="City" numFmtId="0">
      <sharedItems/>
    </cacheField>
    <cacheField name="State" numFmtId="0">
      <sharedItems/>
    </cacheField>
    <cacheField name="Category" numFmtId="0">
      <sharedItems count="6">
        <s v="Electronics"/>
        <s v="Clothing"/>
        <s v="Books"/>
        <s v="Home &amp; Kitchen"/>
        <s v="Beauty"/>
        <s v="Sports"/>
      </sharedItems>
    </cacheField>
    <cacheField name="Product Name" numFmtId="0">
      <sharedItems count="29">
        <s v="iPhone 15 128GB"/>
        <s v="Sony WH-1000XM5 Headphones"/>
        <s v="Levi's 511 Slim Jeans"/>
        <s v="Atomic Habits"/>
        <s v="Dell Inspiron 15 Laptop"/>
        <s v="Nike Air Max 270 Sneakers"/>
        <s v="Samsung Galaxy S23"/>
        <s v="Allen Solly Formal Shirt"/>
        <s v="SQL for Data Analysis"/>
        <s v="Prestige Induction Cooktop"/>
        <s v="Milton Thermosteel Bottle"/>
        <s v="Philips Air Fryer HD9252"/>
        <s v="Clean Code – Robert Martin"/>
        <s v="Pigeon Non-Stick Cookware Set"/>
        <s v="Nivea Men Face Wash"/>
        <s v="Boldfit Yoga Mat"/>
        <s v="boAt Rockerz 450 BT Headset"/>
        <s v="OnePlus Nord CE 3"/>
        <s v="Puma Track Pants"/>
        <s v="System Design Interview"/>
        <s v="Mamaearth Vitamin C Serum"/>
        <s v="Fabindia Kurta Set"/>
        <s v="Himalaya Neem Face Wash"/>
        <s v="Cosco Badminton Racket Set"/>
        <s v="WOW Skin Science Hair Oil"/>
        <s v="H&amp;M Oversized Hoodie"/>
        <s v="Nivia Football"/>
        <s v="Decathlon Push-up Bars"/>
        <s v="Boldfit Resistance Bands Set"/>
      </sharedItems>
    </cacheField>
    <cacheField name="Brand" numFmtId="0">
      <sharedItems/>
    </cacheField>
    <cacheField name="Units Sold" numFmtId="0">
      <sharedItems containsSemiMixedTypes="0" containsString="0" containsNumber="1" containsInteger="1" minValue="1" maxValue="4"/>
    </cacheField>
    <cacheField name="Unit Price (₹)" numFmtId="3">
      <sharedItems containsSemiMixedTypes="0" containsString="0" containsNumber="1" containsInteger="1" minValue="175" maxValue="79999"/>
    </cacheField>
    <cacheField name="Discount %" numFmtId="9">
      <sharedItems containsSemiMixedTypes="0" containsString="0" containsNumber="1" minValue="0" maxValue="0.2"/>
    </cacheField>
    <cacheField name="Gross Revenue (₹)" numFmtId="3">
      <sharedItems containsSemiMixedTypes="0" containsString="0" containsNumber="1" containsInteger="1" minValue="399" maxValue="159998"/>
    </cacheField>
    <cacheField name="Net Revenue (₹)" numFmtId="3">
      <sharedItems containsSemiMixedTypes="0" containsString="0" containsNumber="1" minValue="379.05" maxValue="135998.29999999999"/>
    </cacheField>
    <cacheField name="Payment Method" numFmtId="0">
      <sharedItems count="5">
        <s v="Credit Card"/>
        <s v="UPI"/>
        <s v="Net Banking"/>
        <s v="Debit Card"/>
        <s v="Wallet"/>
      </sharedItems>
    </cacheField>
    <cacheField name="Order Status" numFmtId="0">
      <sharedItems/>
    </cacheField>
  </cacheFields>
  <extLst>
    <ext xmlns:x14="http://schemas.microsoft.com/office/spreadsheetml/2009/9/main" uri="{725AE2AE-9491-48be-B2B4-4EB974FC3084}">
      <x14:pivotCacheDefinition pivotCacheId="16064263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7">
  <r>
    <n v="1"/>
    <s v="05-Jan-23"/>
    <x v="0"/>
    <x v="0"/>
    <s v="Aarav Sharma"/>
    <x v="0"/>
    <s v="Mumbai"/>
    <s v="Maharashtra"/>
    <x v="0"/>
    <x v="0"/>
    <s v="Apple"/>
    <n v="1"/>
    <n v="79999"/>
    <n v="0"/>
    <n v="79999"/>
    <n v="79999"/>
    <x v="0"/>
    <s v="Delivered"/>
  </r>
  <r>
    <n v="1"/>
    <s v="05-Jan-23"/>
    <x v="0"/>
    <x v="0"/>
    <s v="Aarav Sharma"/>
    <x v="0"/>
    <s v="Mumbai"/>
    <s v="Maharashtra"/>
    <x v="0"/>
    <x v="1"/>
    <s v="Sony"/>
    <n v="1"/>
    <n v="26990"/>
    <n v="0"/>
    <n v="26990"/>
    <n v="26990"/>
    <x v="0"/>
    <s v="Delivered"/>
  </r>
  <r>
    <n v="2"/>
    <s v="08-Jan-23"/>
    <x v="0"/>
    <x v="0"/>
    <s v="Rohan Mehta"/>
    <x v="1"/>
    <s v="Pune"/>
    <s v="Maharashtra"/>
    <x v="1"/>
    <x v="2"/>
    <s v="Levi's"/>
    <n v="2"/>
    <n v="3499"/>
    <n v="0.05"/>
    <n v="6998"/>
    <n v="6648.1"/>
    <x v="1"/>
    <s v="Delivered"/>
  </r>
  <r>
    <n v="2"/>
    <s v="08-Jan-23"/>
    <x v="0"/>
    <x v="0"/>
    <s v="Rohan Mehta"/>
    <x v="1"/>
    <s v="Pune"/>
    <s v="Maharashtra"/>
    <x v="2"/>
    <x v="3"/>
    <s v="Penguin"/>
    <n v="1"/>
    <n v="399"/>
    <n v="0.05"/>
    <n v="399"/>
    <n v="379.05"/>
    <x v="1"/>
    <s v="Delivered"/>
  </r>
  <r>
    <n v="3"/>
    <s v="12-Jan-23"/>
    <x v="0"/>
    <x v="0"/>
    <s v="Vikram Joshi"/>
    <x v="0"/>
    <s v="Chennai"/>
    <s v="Tamil Nadu"/>
    <x v="0"/>
    <x v="4"/>
    <s v="Dell"/>
    <n v="1"/>
    <n v="62000"/>
    <n v="0"/>
    <n v="62000"/>
    <n v="62000"/>
    <x v="2"/>
    <s v="Delivered"/>
  </r>
  <r>
    <n v="4"/>
    <s v="15-Jan-23"/>
    <x v="0"/>
    <x v="0"/>
    <s v="Sneha Reddy"/>
    <x v="0"/>
    <s v="Hyderabad"/>
    <s v="Telangana"/>
    <x v="1"/>
    <x v="5"/>
    <s v="Nike"/>
    <n v="1"/>
    <n v="8995"/>
    <n v="0.1"/>
    <n v="8995"/>
    <n v="8095.5"/>
    <x v="0"/>
    <s v="Returned"/>
  </r>
  <r>
    <n v="5"/>
    <s v="20-Jan-23"/>
    <x v="0"/>
    <x v="0"/>
    <s v="Priya Patel"/>
    <x v="2"/>
    <s v="Ahmedabad"/>
    <s v="Gujarat"/>
    <x v="0"/>
    <x v="6"/>
    <s v="Samsung"/>
    <n v="1"/>
    <n v="54999"/>
    <n v="0"/>
    <n v="54999"/>
    <n v="54999"/>
    <x v="1"/>
    <s v="Delivered"/>
  </r>
  <r>
    <n v="6"/>
    <s v="25-Jan-23"/>
    <x v="0"/>
    <x v="0"/>
    <s v="Karan Singh"/>
    <x v="2"/>
    <s v="Delhi"/>
    <s v="Delhi"/>
    <x v="1"/>
    <x v="7"/>
    <s v="Allen Solly"/>
    <n v="3"/>
    <n v="1299"/>
    <n v="0"/>
    <n v="3897"/>
    <n v="3897"/>
    <x v="3"/>
    <s v="Delivered"/>
  </r>
  <r>
    <n v="7"/>
    <s v="28-Jan-23"/>
    <x v="0"/>
    <x v="0"/>
    <s v="Nikhil Verma"/>
    <x v="2"/>
    <s v="Lucknow"/>
    <s v="Uttar Pradesh"/>
    <x v="1"/>
    <x v="7"/>
    <s v="Allen Solly"/>
    <n v="3"/>
    <n v="1299"/>
    <n v="0.05"/>
    <n v="3897"/>
    <n v="3702.15"/>
    <x v="1"/>
    <s v="Delivered"/>
  </r>
  <r>
    <n v="7"/>
    <s v="28-Jan-23"/>
    <x v="0"/>
    <x v="0"/>
    <s v="Nikhil Verma"/>
    <x v="2"/>
    <s v="Lucknow"/>
    <s v="Uttar Pradesh"/>
    <x v="2"/>
    <x v="8"/>
    <s v="O'Reilly"/>
    <n v="1"/>
    <n v="649"/>
    <n v="0.05"/>
    <n v="649"/>
    <n v="616.54999999999995"/>
    <x v="1"/>
    <s v="Delivered"/>
  </r>
  <r>
    <n v="8"/>
    <s v="02-Feb-23"/>
    <x v="1"/>
    <x v="0"/>
    <s v="Meera Iyer"/>
    <x v="2"/>
    <s v="Bengaluru"/>
    <s v="Karnataka"/>
    <x v="3"/>
    <x v="9"/>
    <s v="Prestige"/>
    <n v="1"/>
    <n v="3299"/>
    <n v="0"/>
    <n v="3299"/>
    <n v="3299"/>
    <x v="0"/>
    <s v="Delivered"/>
  </r>
  <r>
    <n v="8"/>
    <s v="02-Feb-23"/>
    <x v="1"/>
    <x v="0"/>
    <s v="Meera Iyer"/>
    <x v="2"/>
    <s v="Bengaluru"/>
    <s v="Karnataka"/>
    <x v="3"/>
    <x v="10"/>
    <s v="Milton"/>
    <n v="2"/>
    <n v="799"/>
    <n v="0"/>
    <n v="1598"/>
    <n v="1598"/>
    <x v="0"/>
    <s v="Delivered"/>
  </r>
  <r>
    <n v="9"/>
    <s v="07-Feb-23"/>
    <x v="1"/>
    <x v="0"/>
    <s v="Divya Menon"/>
    <x v="1"/>
    <s v="Kochi"/>
    <s v="Kerala"/>
    <x v="3"/>
    <x v="11"/>
    <s v="Philips"/>
    <n v="1"/>
    <n v="6999"/>
    <n v="0"/>
    <n v="6999"/>
    <n v="6999"/>
    <x v="4"/>
    <s v="Delivered"/>
  </r>
  <r>
    <n v="10"/>
    <s v="10-Feb-23"/>
    <x v="1"/>
    <x v="0"/>
    <s v="Riya Saxena"/>
    <x v="0"/>
    <s v="Agra"/>
    <s v="Uttar Pradesh"/>
    <x v="2"/>
    <x v="12"/>
    <s v="Pearson"/>
    <n v="2"/>
    <n v="599"/>
    <n v="0.1"/>
    <n v="1198"/>
    <n v="1078.2"/>
    <x v="1"/>
    <s v="Delivered"/>
  </r>
  <r>
    <n v="10"/>
    <s v="10-Feb-23"/>
    <x v="1"/>
    <x v="0"/>
    <s v="Riya Saxena"/>
    <x v="0"/>
    <s v="Agra"/>
    <s v="Uttar Pradesh"/>
    <x v="2"/>
    <x v="3"/>
    <s v="Penguin"/>
    <n v="3"/>
    <n v="399"/>
    <n v="0.1"/>
    <n v="1197"/>
    <n v="1077.3"/>
    <x v="1"/>
    <s v="Delivered"/>
  </r>
  <r>
    <n v="11"/>
    <s v="14-Feb-23"/>
    <x v="1"/>
    <x v="0"/>
    <s v="Aarav Sharma"/>
    <x v="0"/>
    <s v="Mumbai"/>
    <s v="Maharashtra"/>
    <x v="0"/>
    <x v="0"/>
    <s v="Apple"/>
    <n v="1"/>
    <n v="79999"/>
    <n v="0"/>
    <n v="79999"/>
    <n v="79999"/>
    <x v="0"/>
    <s v="Delivered"/>
  </r>
  <r>
    <n v="11"/>
    <s v="14-Feb-23"/>
    <x v="1"/>
    <x v="0"/>
    <s v="Aarav Sharma"/>
    <x v="0"/>
    <s v="Mumbai"/>
    <s v="Maharashtra"/>
    <x v="0"/>
    <x v="1"/>
    <s v="Sony"/>
    <n v="1"/>
    <n v="26990"/>
    <n v="0"/>
    <n v="26990"/>
    <n v="26990"/>
    <x v="0"/>
    <s v="Delivered"/>
  </r>
  <r>
    <n v="12"/>
    <s v="03-Mar-23"/>
    <x v="2"/>
    <x v="0"/>
    <s v="Swati Kulkarni"/>
    <x v="1"/>
    <s v="Pune"/>
    <s v="Maharashtra"/>
    <x v="3"/>
    <x v="13"/>
    <s v="Pigeon"/>
    <n v="1"/>
    <n v="2499"/>
    <n v="0"/>
    <n v="2499"/>
    <n v="2499"/>
    <x v="3"/>
    <s v="Delivered"/>
  </r>
  <r>
    <n v="12"/>
    <s v="03-Mar-23"/>
    <x v="2"/>
    <x v="0"/>
    <s v="Swati Kulkarni"/>
    <x v="1"/>
    <s v="Pune"/>
    <s v="Maharashtra"/>
    <x v="4"/>
    <x v="14"/>
    <s v="Nivea"/>
    <n v="2"/>
    <n v="249"/>
    <n v="0"/>
    <n v="498"/>
    <n v="498"/>
    <x v="3"/>
    <s v="Delivered"/>
  </r>
  <r>
    <n v="13"/>
    <s v="18-Mar-23"/>
    <x v="2"/>
    <x v="0"/>
    <s v="Isha Choudhary"/>
    <x v="2"/>
    <s v="Jodhpur"/>
    <s v="Rajasthan"/>
    <x v="5"/>
    <x v="15"/>
    <s v="Boldfit"/>
    <n v="1"/>
    <n v="799"/>
    <n v="0.05"/>
    <n v="799"/>
    <n v="759.05"/>
    <x v="2"/>
    <s v="Delivered"/>
  </r>
  <r>
    <n v="14"/>
    <s v="04-Apr-23"/>
    <x v="3"/>
    <x v="1"/>
    <s v="Priya Patel"/>
    <x v="2"/>
    <s v="Ahmedabad"/>
    <s v="Gujarat"/>
    <x v="0"/>
    <x v="6"/>
    <s v="Samsung"/>
    <n v="1"/>
    <n v="54999"/>
    <n v="0"/>
    <n v="54999"/>
    <n v="54999"/>
    <x v="0"/>
    <s v="Delivered"/>
  </r>
  <r>
    <n v="14"/>
    <s v="04-Apr-23"/>
    <x v="3"/>
    <x v="1"/>
    <s v="Priya Patel"/>
    <x v="2"/>
    <s v="Ahmedabad"/>
    <s v="Gujarat"/>
    <x v="0"/>
    <x v="16"/>
    <s v="boAt"/>
    <n v="3"/>
    <n v="1499"/>
    <n v="0"/>
    <n v="4497"/>
    <n v="4497"/>
    <x v="0"/>
    <s v="Delivered"/>
  </r>
  <r>
    <n v="15"/>
    <s v="20-Apr-23"/>
    <x v="3"/>
    <x v="1"/>
    <s v="Aarav Sharma"/>
    <x v="0"/>
    <s v="Mumbai"/>
    <s v="Maharashtra"/>
    <x v="0"/>
    <x v="1"/>
    <s v="Sony"/>
    <n v="1"/>
    <n v="26990"/>
    <n v="0.05"/>
    <n v="26990"/>
    <n v="25640.5"/>
    <x v="1"/>
    <s v="Delivered"/>
  </r>
  <r>
    <n v="15"/>
    <s v="20-Apr-23"/>
    <x v="3"/>
    <x v="1"/>
    <s v="Aarav Sharma"/>
    <x v="0"/>
    <s v="Mumbai"/>
    <s v="Maharashtra"/>
    <x v="3"/>
    <x v="10"/>
    <s v="Milton"/>
    <n v="3"/>
    <n v="799"/>
    <n v="0.05"/>
    <n v="2397"/>
    <n v="2277.15"/>
    <x v="1"/>
    <s v="Delivered"/>
  </r>
  <r>
    <n v="16"/>
    <s v="03-May-23"/>
    <x v="4"/>
    <x v="1"/>
    <s v="Vikram Joshi"/>
    <x v="0"/>
    <s v="Chennai"/>
    <s v="Tamil Nadu"/>
    <x v="0"/>
    <x v="17"/>
    <s v="OnePlus"/>
    <n v="1"/>
    <n v="24999"/>
    <n v="0"/>
    <n v="24999"/>
    <n v="24999"/>
    <x v="0"/>
    <s v="Delivered"/>
  </r>
  <r>
    <n v="17"/>
    <s v="08-May-23"/>
    <x v="4"/>
    <x v="1"/>
    <s v="Nikhil Verma"/>
    <x v="2"/>
    <s v="Lucknow"/>
    <s v="Uttar Pradesh"/>
    <x v="1"/>
    <x v="7"/>
    <s v="Allen Solly"/>
    <n v="2"/>
    <n v="1299"/>
    <n v="0.05"/>
    <n v="2598"/>
    <n v="2468.1"/>
    <x v="1"/>
    <s v="Delivered"/>
  </r>
  <r>
    <n v="17"/>
    <s v="08-May-23"/>
    <x v="4"/>
    <x v="1"/>
    <s v="Nikhil Verma"/>
    <x v="2"/>
    <s v="Lucknow"/>
    <s v="Uttar Pradesh"/>
    <x v="1"/>
    <x v="18"/>
    <s v="Puma"/>
    <n v="2"/>
    <n v="1799"/>
    <n v="0.05"/>
    <n v="3598"/>
    <n v="3418.1"/>
    <x v="1"/>
    <s v="Delivered"/>
  </r>
  <r>
    <n v="18"/>
    <s v="13-May-23"/>
    <x v="4"/>
    <x v="1"/>
    <s v="Riya Saxena"/>
    <x v="0"/>
    <s v="Agra"/>
    <s v="Uttar Pradesh"/>
    <x v="2"/>
    <x v="19"/>
    <s v="Independently"/>
    <n v="2"/>
    <n v="799"/>
    <n v="0"/>
    <n v="1598"/>
    <n v="1598"/>
    <x v="4"/>
    <s v="Delivered"/>
  </r>
  <r>
    <n v="18"/>
    <s v="13-May-23"/>
    <x v="4"/>
    <x v="1"/>
    <s v="Riya Saxena"/>
    <x v="0"/>
    <s v="Agra"/>
    <s v="Uttar Pradesh"/>
    <x v="2"/>
    <x v="12"/>
    <s v="Pearson"/>
    <n v="3"/>
    <n v="599"/>
    <n v="0"/>
    <n v="1797"/>
    <n v="1797"/>
    <x v="4"/>
    <s v="Delivered"/>
  </r>
  <r>
    <n v="19"/>
    <s v="04-Jun-23"/>
    <x v="5"/>
    <x v="1"/>
    <s v="Karan Singh"/>
    <x v="2"/>
    <s v="Delhi"/>
    <s v="Delhi"/>
    <x v="0"/>
    <x v="4"/>
    <s v="Dell"/>
    <n v="1"/>
    <n v="62000"/>
    <n v="0"/>
    <n v="62000"/>
    <n v="62000"/>
    <x v="2"/>
    <s v="Delivered"/>
  </r>
  <r>
    <n v="20"/>
    <s v="15-Jun-23"/>
    <x v="5"/>
    <x v="1"/>
    <s v="Aarav Sharma"/>
    <x v="0"/>
    <s v="Mumbai"/>
    <s v="Maharashtra"/>
    <x v="0"/>
    <x v="0"/>
    <s v="Apple"/>
    <n v="1"/>
    <n v="79999"/>
    <n v="0"/>
    <n v="79999"/>
    <n v="79999"/>
    <x v="0"/>
    <s v="Delivered"/>
  </r>
  <r>
    <n v="21"/>
    <s v="20-Jun-23"/>
    <x v="5"/>
    <x v="1"/>
    <s v="Arjun Gupta"/>
    <x v="1"/>
    <s v="Jaipur"/>
    <s v="Rajasthan"/>
    <x v="0"/>
    <x v="4"/>
    <s v="Dell"/>
    <n v="1"/>
    <n v="62000"/>
    <n v="0"/>
    <n v="62000"/>
    <n v="62000"/>
    <x v="3"/>
    <s v="Delivered"/>
  </r>
  <r>
    <n v="22"/>
    <s v="05-Jul-23"/>
    <x v="6"/>
    <x v="2"/>
    <s v="Sneha Reddy"/>
    <x v="0"/>
    <s v="Hyderabad"/>
    <s v="Telangana"/>
    <x v="3"/>
    <x v="9"/>
    <s v="Prestige"/>
    <n v="1"/>
    <n v="3299"/>
    <n v="0.05"/>
    <n v="3299"/>
    <n v="3134.05"/>
    <x v="0"/>
    <s v="Delivered"/>
  </r>
  <r>
    <n v="22"/>
    <s v="05-Jul-23"/>
    <x v="6"/>
    <x v="2"/>
    <s v="Sneha Reddy"/>
    <x v="0"/>
    <s v="Hyderabad"/>
    <s v="Telangana"/>
    <x v="3"/>
    <x v="11"/>
    <s v="Philips"/>
    <n v="1"/>
    <n v="6999"/>
    <n v="0.05"/>
    <n v="6999"/>
    <n v="6649.05"/>
    <x v="0"/>
    <s v="Delivered"/>
  </r>
  <r>
    <n v="23"/>
    <s v="10-Jul-23"/>
    <x v="6"/>
    <x v="2"/>
    <s v="Vikram Joshi"/>
    <x v="0"/>
    <s v="Chennai"/>
    <s v="Tamil Nadu"/>
    <x v="0"/>
    <x v="6"/>
    <s v="Samsung"/>
    <n v="1"/>
    <n v="54999"/>
    <n v="0"/>
    <n v="54999"/>
    <n v="54999"/>
    <x v="2"/>
    <s v="Delivered"/>
  </r>
  <r>
    <n v="24"/>
    <s v="15-Jul-23"/>
    <x v="6"/>
    <x v="2"/>
    <s v="Rahul Banerjee"/>
    <x v="0"/>
    <s v="Kolkata"/>
    <s v="West Bengal"/>
    <x v="0"/>
    <x v="0"/>
    <s v="Apple"/>
    <n v="1"/>
    <n v="79999"/>
    <n v="0.1"/>
    <n v="79999"/>
    <n v="71999.100000000006"/>
    <x v="1"/>
    <s v="Delivered"/>
  </r>
  <r>
    <n v="24"/>
    <s v="15-Jul-23"/>
    <x v="6"/>
    <x v="2"/>
    <s v="Rahul Banerjee"/>
    <x v="0"/>
    <s v="Kolkata"/>
    <s v="West Bengal"/>
    <x v="0"/>
    <x v="16"/>
    <s v="boAt"/>
    <n v="2"/>
    <n v="1499"/>
    <n v="0.1"/>
    <n v="2998"/>
    <n v="2698.2"/>
    <x v="1"/>
    <s v="Delivered"/>
  </r>
  <r>
    <n v="25"/>
    <s v="20-Jul-23"/>
    <x v="6"/>
    <x v="2"/>
    <s v="Priya Patel"/>
    <x v="2"/>
    <s v="Ahmedabad"/>
    <s v="Gujarat"/>
    <x v="0"/>
    <x v="6"/>
    <s v="Samsung"/>
    <n v="1"/>
    <n v="54999"/>
    <n v="0"/>
    <n v="54999"/>
    <n v="54999"/>
    <x v="0"/>
    <s v="Delivered"/>
  </r>
  <r>
    <n v="26"/>
    <s v="25-Jul-23"/>
    <x v="6"/>
    <x v="2"/>
    <s v="Meera Iyer"/>
    <x v="2"/>
    <s v="Bengaluru"/>
    <s v="Karnataka"/>
    <x v="1"/>
    <x v="5"/>
    <s v="Nike"/>
    <n v="1"/>
    <n v="8995"/>
    <n v="0.05"/>
    <n v="8995"/>
    <n v="8545.25"/>
    <x v="3"/>
    <s v="Delivered"/>
  </r>
  <r>
    <n v="26"/>
    <s v="25-Jul-23"/>
    <x v="6"/>
    <x v="2"/>
    <s v="Meera Iyer"/>
    <x v="2"/>
    <s v="Bengaluru"/>
    <s v="Karnataka"/>
    <x v="1"/>
    <x v="18"/>
    <s v="Puma"/>
    <n v="2"/>
    <n v="1799"/>
    <n v="0.05"/>
    <n v="3598"/>
    <n v="3418.1"/>
    <x v="3"/>
    <s v="Delivered"/>
  </r>
  <r>
    <n v="27"/>
    <s v="03-Aug-23"/>
    <x v="7"/>
    <x v="2"/>
    <s v="Aarav Sharma"/>
    <x v="0"/>
    <s v="Mumbai"/>
    <s v="Maharashtra"/>
    <x v="0"/>
    <x v="0"/>
    <s v="Apple"/>
    <n v="1"/>
    <n v="79999"/>
    <n v="0"/>
    <n v="79999"/>
    <n v="79999"/>
    <x v="0"/>
    <s v="Delivered"/>
  </r>
  <r>
    <n v="28"/>
    <s v="08-Aug-23"/>
    <x v="7"/>
    <x v="2"/>
    <s v="Karan Singh"/>
    <x v="2"/>
    <s v="Delhi"/>
    <s v="Delhi"/>
    <x v="0"/>
    <x v="4"/>
    <s v="Dell"/>
    <n v="1"/>
    <n v="62000"/>
    <n v="0"/>
    <n v="62000"/>
    <n v="62000"/>
    <x v="1"/>
    <s v="Delivered"/>
  </r>
  <r>
    <n v="29"/>
    <s v="13-Aug-23"/>
    <x v="7"/>
    <x v="2"/>
    <s v="Riya Saxena"/>
    <x v="0"/>
    <s v="Agra"/>
    <s v="Uttar Pradesh"/>
    <x v="0"/>
    <x v="6"/>
    <s v="Samsung"/>
    <n v="1"/>
    <n v="54999"/>
    <n v="0.05"/>
    <n v="54999"/>
    <n v="52249.05"/>
    <x v="4"/>
    <s v="Delivered"/>
  </r>
  <r>
    <n v="29"/>
    <s v="13-Aug-23"/>
    <x v="7"/>
    <x v="2"/>
    <s v="Riya Saxena"/>
    <x v="0"/>
    <s v="Agra"/>
    <s v="Uttar Pradesh"/>
    <x v="4"/>
    <x v="20"/>
    <s v="Mamaearth"/>
    <n v="2"/>
    <n v="599"/>
    <n v="0.05"/>
    <n v="1198"/>
    <n v="1138.0999999999999"/>
    <x v="4"/>
    <s v="Delivered"/>
  </r>
  <r>
    <n v="30"/>
    <s v="18-Aug-23"/>
    <x v="7"/>
    <x v="2"/>
    <s v="Nikhil Verma"/>
    <x v="2"/>
    <s v="Lucknow"/>
    <s v="Uttar Pradesh"/>
    <x v="0"/>
    <x v="4"/>
    <s v="Dell"/>
    <n v="1"/>
    <n v="62000"/>
    <n v="0"/>
    <n v="62000"/>
    <n v="62000"/>
    <x v="0"/>
    <s v="Delivered"/>
  </r>
  <r>
    <n v="31"/>
    <s v="04-Sep-23"/>
    <x v="8"/>
    <x v="2"/>
    <s v="Rohan Mehta"/>
    <x v="1"/>
    <s v="Pune"/>
    <s v="Maharashtra"/>
    <x v="0"/>
    <x v="17"/>
    <s v="OnePlus"/>
    <n v="1"/>
    <n v="24999"/>
    <n v="0"/>
    <n v="24999"/>
    <n v="24999"/>
    <x v="2"/>
    <s v="Delivered"/>
  </r>
  <r>
    <n v="32"/>
    <s v="15-Sep-23"/>
    <x v="8"/>
    <x v="2"/>
    <s v="Vikram Joshi"/>
    <x v="0"/>
    <s v="Chennai"/>
    <s v="Tamil Nadu"/>
    <x v="0"/>
    <x v="4"/>
    <s v="Dell"/>
    <n v="1"/>
    <n v="62000"/>
    <n v="0"/>
    <n v="62000"/>
    <n v="62000"/>
    <x v="0"/>
    <s v="Delivered"/>
  </r>
  <r>
    <n v="33"/>
    <s v="25-Sep-23"/>
    <x v="8"/>
    <x v="2"/>
    <s v="Sneha Reddy"/>
    <x v="0"/>
    <s v="Hyderabad"/>
    <s v="Telangana"/>
    <x v="0"/>
    <x v="17"/>
    <s v="OnePlus"/>
    <n v="1"/>
    <n v="24999"/>
    <n v="0"/>
    <n v="24999"/>
    <n v="24999"/>
    <x v="1"/>
    <s v="Delivered"/>
  </r>
  <r>
    <n v="33"/>
    <s v="25-Sep-23"/>
    <x v="8"/>
    <x v="2"/>
    <s v="Sneha Reddy"/>
    <x v="0"/>
    <s v="Hyderabad"/>
    <s v="Telangana"/>
    <x v="4"/>
    <x v="20"/>
    <s v="Mamaearth"/>
    <n v="1"/>
    <n v="599"/>
    <n v="0"/>
    <n v="599"/>
    <n v="599"/>
    <x v="1"/>
    <s v="Delivered"/>
  </r>
  <r>
    <n v="34"/>
    <s v="01-Oct-23"/>
    <x v="9"/>
    <x v="3"/>
    <s v="Aarav Sharma"/>
    <x v="0"/>
    <s v="Mumbai"/>
    <s v="Maharashtra"/>
    <x v="0"/>
    <x v="0"/>
    <s v="Apple"/>
    <n v="1"/>
    <n v="79999"/>
    <n v="0.1"/>
    <n v="79999"/>
    <n v="71999.100000000006"/>
    <x v="0"/>
    <s v="Delivered"/>
  </r>
  <r>
    <n v="34"/>
    <s v="01-Oct-23"/>
    <x v="9"/>
    <x v="3"/>
    <s v="Aarav Sharma"/>
    <x v="0"/>
    <s v="Mumbai"/>
    <s v="Maharashtra"/>
    <x v="0"/>
    <x v="1"/>
    <s v="Sony"/>
    <n v="1"/>
    <n v="26990"/>
    <n v="0.1"/>
    <n v="26990"/>
    <n v="24291"/>
    <x v="0"/>
    <s v="Delivered"/>
  </r>
  <r>
    <n v="35"/>
    <s v="05-Oct-23"/>
    <x v="9"/>
    <x v="3"/>
    <s v="Karan Singh"/>
    <x v="2"/>
    <s v="Delhi"/>
    <s v="Delhi"/>
    <x v="0"/>
    <x v="4"/>
    <s v="Dell"/>
    <n v="1"/>
    <n v="62000"/>
    <n v="0.1"/>
    <n v="62000"/>
    <n v="55800"/>
    <x v="0"/>
    <s v="Delivered"/>
  </r>
  <r>
    <n v="36"/>
    <s v="09-Oct-23"/>
    <x v="9"/>
    <x v="3"/>
    <s v="Rahul Banerjee"/>
    <x v="0"/>
    <s v="Kolkata"/>
    <s v="West Bengal"/>
    <x v="0"/>
    <x v="0"/>
    <s v="Apple"/>
    <n v="1"/>
    <n v="79999"/>
    <n v="0.1"/>
    <n v="79999"/>
    <n v="71999.100000000006"/>
    <x v="0"/>
    <s v="Delivered"/>
  </r>
  <r>
    <n v="36"/>
    <s v="09-Oct-23"/>
    <x v="9"/>
    <x v="3"/>
    <s v="Rahul Banerjee"/>
    <x v="0"/>
    <s v="Kolkata"/>
    <s v="West Bengal"/>
    <x v="5"/>
    <x v="15"/>
    <s v="Boldfit"/>
    <n v="2"/>
    <n v="799"/>
    <n v="0.1"/>
    <n v="1598"/>
    <n v="1438.2"/>
    <x v="0"/>
    <s v="Delivered"/>
  </r>
  <r>
    <n v="37"/>
    <s v="13-Oct-23"/>
    <x v="9"/>
    <x v="3"/>
    <s v="Riya Saxena"/>
    <x v="0"/>
    <s v="Agra"/>
    <s v="Uttar Pradesh"/>
    <x v="0"/>
    <x v="6"/>
    <s v="Samsung"/>
    <n v="1"/>
    <n v="54999"/>
    <n v="0"/>
    <n v="54999"/>
    <n v="54999"/>
    <x v="3"/>
    <s v="Delivered"/>
  </r>
  <r>
    <n v="38"/>
    <s v="15-Oct-23"/>
    <x v="9"/>
    <x v="3"/>
    <s v="Sneha Reddy"/>
    <x v="0"/>
    <s v="Hyderabad"/>
    <s v="Telangana"/>
    <x v="0"/>
    <x v="4"/>
    <s v="Dell"/>
    <n v="1"/>
    <n v="62000"/>
    <n v="0.05"/>
    <n v="62000"/>
    <n v="58900"/>
    <x v="0"/>
    <s v="Delivered"/>
  </r>
  <r>
    <n v="39"/>
    <s v="21-Oct-23"/>
    <x v="9"/>
    <x v="3"/>
    <s v="Harsh Malhotra"/>
    <x v="2"/>
    <s v="Delhi"/>
    <s v="Delhi"/>
    <x v="3"/>
    <x v="11"/>
    <s v="Philips"/>
    <n v="1"/>
    <n v="6999"/>
    <n v="0.1"/>
    <n v="6999"/>
    <n v="6299.1"/>
    <x v="1"/>
    <s v="Delivered"/>
  </r>
  <r>
    <n v="39"/>
    <s v="21-Oct-23"/>
    <x v="9"/>
    <x v="3"/>
    <s v="Harsh Malhotra"/>
    <x v="2"/>
    <s v="Delhi"/>
    <s v="Delhi"/>
    <x v="3"/>
    <x v="10"/>
    <s v="Milton"/>
    <n v="2"/>
    <n v="799"/>
    <n v="0.1"/>
    <n v="1598"/>
    <n v="1438.2"/>
    <x v="1"/>
    <s v="Delivered"/>
  </r>
  <r>
    <n v="40"/>
    <s v="23-Oct-23"/>
    <x v="9"/>
    <x v="3"/>
    <s v="Nikhil Verma"/>
    <x v="2"/>
    <s v="Lucknow"/>
    <s v="Uttar Pradesh"/>
    <x v="2"/>
    <x v="12"/>
    <s v="Pearson"/>
    <n v="3"/>
    <n v="599"/>
    <n v="0"/>
    <n v="1797"/>
    <n v="1797"/>
    <x v="0"/>
    <s v="Delivered"/>
  </r>
  <r>
    <n v="40"/>
    <s v="23-Oct-23"/>
    <x v="9"/>
    <x v="3"/>
    <s v="Nikhil Verma"/>
    <x v="2"/>
    <s v="Lucknow"/>
    <s v="Uttar Pradesh"/>
    <x v="2"/>
    <x v="19"/>
    <s v="Independently"/>
    <n v="2"/>
    <n v="799"/>
    <n v="0"/>
    <n v="1598"/>
    <n v="1598"/>
    <x v="0"/>
    <s v="Delivered"/>
  </r>
  <r>
    <n v="41"/>
    <s v="01-Nov-23"/>
    <x v="10"/>
    <x v="3"/>
    <s v="Aarav Sharma"/>
    <x v="0"/>
    <s v="Mumbai"/>
    <s v="Maharashtra"/>
    <x v="0"/>
    <x v="0"/>
    <s v="Apple"/>
    <n v="2"/>
    <n v="79999"/>
    <n v="0.15"/>
    <n v="159998"/>
    <n v="135998.29999999999"/>
    <x v="0"/>
    <s v="Delivered"/>
  </r>
  <r>
    <n v="41"/>
    <s v="01-Nov-23"/>
    <x v="10"/>
    <x v="3"/>
    <s v="Aarav Sharma"/>
    <x v="0"/>
    <s v="Mumbai"/>
    <s v="Maharashtra"/>
    <x v="0"/>
    <x v="4"/>
    <s v="Dell"/>
    <n v="1"/>
    <n v="62000"/>
    <n v="0.15"/>
    <n v="62000"/>
    <n v="52700"/>
    <x v="0"/>
    <s v="Delivered"/>
  </r>
  <r>
    <n v="42"/>
    <s v="03-Nov-23"/>
    <x v="10"/>
    <x v="3"/>
    <s v="Priya Patel"/>
    <x v="2"/>
    <s v="Ahmedabad"/>
    <s v="Gujarat"/>
    <x v="0"/>
    <x v="6"/>
    <s v="Samsung"/>
    <n v="1"/>
    <n v="54999"/>
    <n v="0.15"/>
    <n v="54999"/>
    <n v="46749.15"/>
    <x v="0"/>
    <s v="Delivered"/>
  </r>
  <r>
    <n v="42"/>
    <s v="03-Nov-23"/>
    <x v="10"/>
    <x v="3"/>
    <s v="Priya Patel"/>
    <x v="2"/>
    <s v="Ahmedabad"/>
    <s v="Gujarat"/>
    <x v="0"/>
    <x v="1"/>
    <s v="Sony"/>
    <n v="1"/>
    <n v="26990"/>
    <n v="0.15"/>
    <n v="26990"/>
    <n v="22941.5"/>
    <x v="0"/>
    <s v="Delivered"/>
  </r>
  <r>
    <n v="43"/>
    <s v="05-Nov-23"/>
    <x v="10"/>
    <x v="3"/>
    <s v="Vikram Joshi"/>
    <x v="0"/>
    <s v="Chennai"/>
    <s v="Tamil Nadu"/>
    <x v="0"/>
    <x v="4"/>
    <s v="Dell"/>
    <n v="1"/>
    <n v="62000"/>
    <n v="0.1"/>
    <n v="62000"/>
    <n v="55800"/>
    <x v="2"/>
    <s v="Delivered"/>
  </r>
  <r>
    <n v="44"/>
    <s v="07-Nov-23"/>
    <x v="10"/>
    <x v="3"/>
    <s v="Meera Iyer"/>
    <x v="2"/>
    <s v="Bengaluru"/>
    <s v="Karnataka"/>
    <x v="0"/>
    <x v="0"/>
    <s v="Apple"/>
    <n v="1"/>
    <n v="79999"/>
    <n v="0.1"/>
    <n v="79999"/>
    <n v="71999.100000000006"/>
    <x v="0"/>
    <s v="Delivered"/>
  </r>
  <r>
    <n v="44"/>
    <s v="07-Nov-23"/>
    <x v="10"/>
    <x v="3"/>
    <s v="Meera Iyer"/>
    <x v="2"/>
    <s v="Bengaluru"/>
    <s v="Karnataka"/>
    <x v="1"/>
    <x v="5"/>
    <s v="Nike"/>
    <n v="2"/>
    <n v="8995"/>
    <n v="0.1"/>
    <n v="17990"/>
    <n v="16191"/>
    <x v="0"/>
    <s v="Delivered"/>
  </r>
  <r>
    <n v="45"/>
    <s v="09-Nov-23"/>
    <x v="10"/>
    <x v="3"/>
    <s v="Rahul Banerjee"/>
    <x v="0"/>
    <s v="Kolkata"/>
    <s v="West Bengal"/>
    <x v="0"/>
    <x v="0"/>
    <s v="Apple"/>
    <n v="1"/>
    <n v="79999"/>
    <n v="0.15"/>
    <n v="79999"/>
    <n v="67999.149999999994"/>
    <x v="0"/>
    <s v="Delivered"/>
  </r>
  <r>
    <n v="45"/>
    <s v="09-Nov-23"/>
    <x v="10"/>
    <x v="3"/>
    <s v="Rahul Banerjee"/>
    <x v="0"/>
    <s v="Kolkata"/>
    <s v="West Bengal"/>
    <x v="0"/>
    <x v="6"/>
    <s v="Samsung"/>
    <n v="1"/>
    <n v="54999"/>
    <n v="0.15"/>
    <n v="54999"/>
    <n v="46749.15"/>
    <x v="0"/>
    <s v="Delivered"/>
  </r>
  <r>
    <n v="46"/>
    <s v="12-Nov-23"/>
    <x v="10"/>
    <x v="3"/>
    <s v="Aditya Rao"/>
    <x v="2"/>
    <s v="Hyderabad"/>
    <s v="Telangana"/>
    <x v="3"/>
    <x v="11"/>
    <s v="Philips"/>
    <n v="1"/>
    <n v="6999"/>
    <n v="0.1"/>
    <n v="6999"/>
    <n v="6299.1"/>
    <x v="1"/>
    <s v="Delivered"/>
  </r>
  <r>
    <n v="46"/>
    <s v="12-Nov-23"/>
    <x v="10"/>
    <x v="3"/>
    <s v="Aditya Rao"/>
    <x v="2"/>
    <s v="Hyderabad"/>
    <s v="Telangana"/>
    <x v="3"/>
    <x v="13"/>
    <s v="Pigeon"/>
    <n v="1"/>
    <n v="2499"/>
    <n v="0.1"/>
    <n v="2499"/>
    <n v="2249.1"/>
    <x v="1"/>
    <s v="Delivered"/>
  </r>
  <r>
    <n v="47"/>
    <s v="14-Nov-23"/>
    <x v="10"/>
    <x v="3"/>
    <s v="Riya Saxena"/>
    <x v="0"/>
    <s v="Agra"/>
    <s v="Uttar Pradesh"/>
    <x v="0"/>
    <x v="4"/>
    <s v="Dell"/>
    <n v="1"/>
    <n v="62000"/>
    <n v="0.2"/>
    <n v="62000"/>
    <n v="49600"/>
    <x v="0"/>
    <s v="Delivered"/>
  </r>
  <r>
    <n v="47"/>
    <s v="14-Nov-23"/>
    <x v="10"/>
    <x v="3"/>
    <s v="Riya Saxena"/>
    <x v="0"/>
    <s v="Agra"/>
    <s v="Uttar Pradesh"/>
    <x v="1"/>
    <x v="2"/>
    <s v="Levi's"/>
    <n v="2"/>
    <n v="3499"/>
    <n v="0.2"/>
    <n v="6998"/>
    <n v="5598.4"/>
    <x v="0"/>
    <s v="Delivered"/>
  </r>
  <r>
    <n v="48"/>
    <s v="17-Nov-23"/>
    <x v="10"/>
    <x v="3"/>
    <s v="Siddharth Bhatt"/>
    <x v="1"/>
    <s v="Vadodara"/>
    <s v="Gujarat"/>
    <x v="1"/>
    <x v="21"/>
    <s v="Fabindia"/>
    <n v="2"/>
    <n v="2499"/>
    <n v="0.1"/>
    <n v="4998"/>
    <n v="4498.2"/>
    <x v="3"/>
    <s v="Delivered"/>
  </r>
  <r>
    <n v="48"/>
    <s v="17-Nov-23"/>
    <x v="10"/>
    <x v="3"/>
    <s v="Siddharth Bhatt"/>
    <x v="1"/>
    <s v="Vadodara"/>
    <s v="Gujarat"/>
    <x v="4"/>
    <x v="22"/>
    <s v="Himalaya"/>
    <n v="4"/>
    <n v="175"/>
    <n v="0.1"/>
    <n v="700"/>
    <n v="630"/>
    <x v="3"/>
    <s v="Delivered"/>
  </r>
  <r>
    <n v="49"/>
    <s v="20-Nov-23"/>
    <x v="10"/>
    <x v="3"/>
    <s v="Anjali Nair"/>
    <x v="1"/>
    <s v="Bengaluru"/>
    <s v="Karnataka"/>
    <x v="5"/>
    <x v="23"/>
    <s v="Cosco"/>
    <n v="1"/>
    <n v="1299"/>
    <n v="0"/>
    <n v="1299"/>
    <n v="1299"/>
    <x v="1"/>
    <s v="Delivered"/>
  </r>
  <r>
    <n v="49"/>
    <s v="20-Nov-23"/>
    <x v="10"/>
    <x v="3"/>
    <s v="Anjali Nair"/>
    <x v="1"/>
    <s v="Bengaluru"/>
    <s v="Karnataka"/>
    <x v="5"/>
    <x v="15"/>
    <s v="Boldfit"/>
    <n v="2"/>
    <n v="799"/>
    <n v="0"/>
    <n v="1598"/>
    <n v="1598"/>
    <x v="1"/>
    <s v="Delivered"/>
  </r>
  <r>
    <n v="50"/>
    <s v="24-Nov-23"/>
    <x v="10"/>
    <x v="3"/>
    <s v="Neha Srivastava"/>
    <x v="2"/>
    <s v="Kanpur"/>
    <s v="Uttar Pradesh"/>
    <x v="0"/>
    <x v="17"/>
    <s v="OnePlus"/>
    <n v="1"/>
    <n v="24999"/>
    <n v="0.1"/>
    <n v="24999"/>
    <n v="22499.1"/>
    <x v="0"/>
    <s v="Delivered"/>
  </r>
  <r>
    <n v="50"/>
    <s v="24-Nov-23"/>
    <x v="10"/>
    <x v="3"/>
    <s v="Neha Srivastava"/>
    <x v="2"/>
    <s v="Kanpur"/>
    <s v="Uttar Pradesh"/>
    <x v="2"/>
    <x v="19"/>
    <s v="Independently"/>
    <n v="2"/>
    <n v="799"/>
    <n v="0.1"/>
    <n v="1598"/>
    <n v="1438.2"/>
    <x v="0"/>
    <s v="Delivered"/>
  </r>
  <r>
    <n v="51"/>
    <s v="27-Nov-23"/>
    <x v="10"/>
    <x v="3"/>
    <s v="Tanya Kapoor"/>
    <x v="1"/>
    <s v="Mumbai"/>
    <s v="Maharashtra"/>
    <x v="4"/>
    <x v="20"/>
    <s v="Mamaearth"/>
    <n v="2"/>
    <n v="599"/>
    <n v="0.05"/>
    <n v="1198"/>
    <n v="1138.0999999999999"/>
    <x v="4"/>
    <s v="Delivered"/>
  </r>
  <r>
    <n v="51"/>
    <s v="27-Nov-23"/>
    <x v="10"/>
    <x v="3"/>
    <s v="Tanya Kapoor"/>
    <x v="1"/>
    <s v="Mumbai"/>
    <s v="Maharashtra"/>
    <x v="4"/>
    <x v="24"/>
    <s v="WOW"/>
    <n v="2"/>
    <n v="399"/>
    <n v="0.05"/>
    <n v="798"/>
    <n v="758.1"/>
    <x v="4"/>
    <s v="Delivered"/>
  </r>
  <r>
    <n v="52"/>
    <s v="02-Dec-23"/>
    <x v="11"/>
    <x v="3"/>
    <s v="Aarav Sharma"/>
    <x v="0"/>
    <s v="Mumbai"/>
    <s v="Maharashtra"/>
    <x v="0"/>
    <x v="0"/>
    <s v="Apple"/>
    <n v="1"/>
    <n v="79999"/>
    <n v="0.1"/>
    <n v="79999"/>
    <n v="71999.100000000006"/>
    <x v="0"/>
    <s v="Delivered"/>
  </r>
  <r>
    <n v="53"/>
    <s v="05-Dec-23"/>
    <x v="11"/>
    <x v="3"/>
    <s v="Vikram Joshi"/>
    <x v="0"/>
    <s v="Chennai"/>
    <s v="Tamil Nadu"/>
    <x v="0"/>
    <x v="6"/>
    <s v="Samsung"/>
    <n v="1"/>
    <n v="54999"/>
    <n v="0.05"/>
    <n v="54999"/>
    <n v="52249.05"/>
    <x v="2"/>
    <s v="Delivered"/>
  </r>
  <r>
    <n v="53"/>
    <s v="05-Dec-23"/>
    <x v="11"/>
    <x v="3"/>
    <s v="Vikram Joshi"/>
    <x v="0"/>
    <s v="Chennai"/>
    <s v="Tamil Nadu"/>
    <x v="0"/>
    <x v="4"/>
    <s v="Dell"/>
    <n v="1"/>
    <n v="62000"/>
    <n v="0.05"/>
    <n v="62000"/>
    <n v="58900"/>
    <x v="2"/>
    <s v="Delivered"/>
  </r>
  <r>
    <n v="54"/>
    <s v="08-Dec-23"/>
    <x v="11"/>
    <x v="3"/>
    <s v="Karan Singh"/>
    <x v="2"/>
    <s v="Delhi"/>
    <s v="Delhi"/>
    <x v="0"/>
    <x v="4"/>
    <s v="Dell"/>
    <n v="1"/>
    <n v="62000"/>
    <n v="0.1"/>
    <n v="62000"/>
    <n v="55800"/>
    <x v="0"/>
    <s v="Delivered"/>
  </r>
  <r>
    <n v="55"/>
    <s v="10-Dec-23"/>
    <x v="11"/>
    <x v="3"/>
    <s v="Rahul Banerjee"/>
    <x v="0"/>
    <s v="Kolkata"/>
    <s v="West Bengal"/>
    <x v="0"/>
    <x v="6"/>
    <s v="Samsung"/>
    <n v="1"/>
    <n v="54999"/>
    <n v="0"/>
    <n v="54999"/>
    <n v="54999"/>
    <x v="1"/>
    <s v="Delivered"/>
  </r>
  <r>
    <n v="56"/>
    <s v="14-Dec-23"/>
    <x v="11"/>
    <x v="3"/>
    <s v="Meera Iyer"/>
    <x v="2"/>
    <s v="Bengaluru"/>
    <s v="Karnataka"/>
    <x v="0"/>
    <x v="0"/>
    <s v="Apple"/>
    <n v="1"/>
    <n v="79999"/>
    <n v="0.1"/>
    <n v="79999"/>
    <n v="71999.100000000006"/>
    <x v="0"/>
    <s v="Delivered"/>
  </r>
  <r>
    <n v="57"/>
    <s v="16-Dec-23"/>
    <x v="11"/>
    <x v="3"/>
    <s v="Riya Saxena"/>
    <x v="0"/>
    <s v="Agra"/>
    <s v="Uttar Pradesh"/>
    <x v="0"/>
    <x v="6"/>
    <s v="Samsung"/>
    <n v="1"/>
    <n v="54999"/>
    <n v="0"/>
    <n v="54999"/>
    <n v="54999"/>
    <x v="4"/>
    <s v="Delivered"/>
  </r>
  <r>
    <n v="58"/>
    <s v="20-Dec-23"/>
    <x v="11"/>
    <x v="3"/>
    <s v="Sneha Reddy"/>
    <x v="0"/>
    <s v="Hyderabad"/>
    <s v="Telangana"/>
    <x v="0"/>
    <x v="17"/>
    <s v="OnePlus"/>
    <n v="1"/>
    <n v="24999"/>
    <n v="0.05"/>
    <n v="24999"/>
    <n v="23749.05"/>
    <x v="1"/>
    <s v="Delivered"/>
  </r>
  <r>
    <n v="59"/>
    <s v="24-Dec-23"/>
    <x v="11"/>
    <x v="3"/>
    <s v="Rohan Mehta"/>
    <x v="1"/>
    <s v="Pune"/>
    <s v="Maharashtra"/>
    <x v="1"/>
    <x v="2"/>
    <s v="Levi's"/>
    <n v="2"/>
    <n v="3499"/>
    <n v="0.05"/>
    <n v="6998"/>
    <n v="6648.1"/>
    <x v="3"/>
    <s v="Delivered"/>
  </r>
  <r>
    <n v="59"/>
    <s v="24-Dec-23"/>
    <x v="11"/>
    <x v="3"/>
    <s v="Rohan Mehta"/>
    <x v="1"/>
    <s v="Pune"/>
    <s v="Maharashtra"/>
    <x v="1"/>
    <x v="25"/>
    <s v="H&amp;M"/>
    <n v="1"/>
    <n v="1999"/>
    <n v="0.05"/>
    <n v="1999"/>
    <n v="1899.05"/>
    <x v="3"/>
    <s v="Delivered"/>
  </r>
  <r>
    <n v="60"/>
    <s v="28-Dec-23"/>
    <x v="11"/>
    <x v="3"/>
    <s v="Nikhil Verma"/>
    <x v="2"/>
    <s v="Lucknow"/>
    <s v="Uttar Pradesh"/>
    <x v="5"/>
    <x v="26"/>
    <s v="Nivia"/>
    <n v="1"/>
    <n v="899"/>
    <n v="0"/>
    <n v="899"/>
    <n v="899"/>
    <x v="2"/>
    <s v="Delivered"/>
  </r>
  <r>
    <n v="60"/>
    <s v="28-Dec-23"/>
    <x v="11"/>
    <x v="3"/>
    <s v="Nikhil Verma"/>
    <x v="2"/>
    <s v="Lucknow"/>
    <s v="Uttar Pradesh"/>
    <x v="5"/>
    <x v="27"/>
    <s v="Decathlon"/>
    <n v="2"/>
    <n v="499"/>
    <n v="0"/>
    <n v="998"/>
    <n v="998"/>
    <x v="2"/>
    <s v="Delivered"/>
  </r>
  <r>
    <n v="61"/>
    <s v="25-Jan-23"/>
    <x v="0"/>
    <x v="0"/>
    <s v="Karan Singh"/>
    <x v="2"/>
    <s v="Delhi"/>
    <s v="Delhi"/>
    <x v="4"/>
    <x v="22"/>
    <s v="Himalaya"/>
    <n v="4"/>
    <n v="175"/>
    <n v="0"/>
    <n v="700"/>
    <n v="700"/>
    <x v="3"/>
    <s v="Delivered"/>
  </r>
  <r>
    <n v="62"/>
    <s v="22-Feb-23"/>
    <x v="1"/>
    <x v="0"/>
    <s v="Arjun Gupta"/>
    <x v="1"/>
    <s v="Jaipur"/>
    <s v="Rajasthan"/>
    <x v="1"/>
    <x v="5"/>
    <s v="Nike"/>
    <n v="1"/>
    <n v="8995"/>
    <n v="0.05"/>
    <n v="8995"/>
    <n v="8545.25"/>
    <x v="0"/>
    <s v="Delivered"/>
  </r>
  <r>
    <n v="63"/>
    <s v="22-Mar-23"/>
    <x v="2"/>
    <x v="0"/>
    <s v="Harsh Malhotra"/>
    <x v="2"/>
    <s v="Delhi"/>
    <s v="Delhi"/>
    <x v="0"/>
    <x v="4"/>
    <s v="Dell"/>
    <n v="1"/>
    <n v="62000"/>
    <n v="0.1"/>
    <n v="62000"/>
    <n v="55800"/>
    <x v="0"/>
    <s v="Delivered"/>
  </r>
  <r>
    <n v="64"/>
    <s v="09-Apr-23"/>
    <x v="3"/>
    <x v="1"/>
    <s v="Rahul Banerjee"/>
    <x v="0"/>
    <s v="Kolkata"/>
    <s v="West Bengal"/>
    <x v="2"/>
    <x v="12"/>
    <s v="Pearson"/>
    <n v="3"/>
    <n v="599"/>
    <n v="0"/>
    <n v="1797"/>
    <n v="1797"/>
    <x v="1"/>
    <s v="Delivered"/>
  </r>
  <r>
    <n v="64"/>
    <s v="09-Apr-23"/>
    <x v="3"/>
    <x v="1"/>
    <s v="Rahul Banerjee"/>
    <x v="0"/>
    <s v="Kolkata"/>
    <s v="West Bengal"/>
    <x v="2"/>
    <x v="3"/>
    <s v="Penguin"/>
    <n v="2"/>
    <n v="399"/>
    <n v="0"/>
    <n v="798"/>
    <n v="798"/>
    <x v="1"/>
    <s v="Delivered"/>
  </r>
  <r>
    <n v="65"/>
    <s v="24-May-23"/>
    <x v="4"/>
    <x v="1"/>
    <s v="Preeti Ghosh"/>
    <x v="0"/>
    <s v="Kolkata"/>
    <s v="West Bengal"/>
    <x v="4"/>
    <x v="20"/>
    <s v="Mamaearth"/>
    <n v="3"/>
    <n v="599"/>
    <n v="0.1"/>
    <n v="1797"/>
    <n v="1617.3"/>
    <x v="3"/>
    <s v="Delivered"/>
  </r>
  <r>
    <n v="66"/>
    <s v="25-Jun-23"/>
    <x v="5"/>
    <x v="1"/>
    <s v="Isha Choudhary"/>
    <x v="2"/>
    <s v="Jodhpur"/>
    <s v="Rajasthan"/>
    <x v="3"/>
    <x v="13"/>
    <s v="Pigeon"/>
    <n v="1"/>
    <n v="2499"/>
    <n v="0"/>
    <n v="2499"/>
    <n v="2499"/>
    <x v="1"/>
    <s v="Delivered"/>
  </r>
  <r>
    <n v="67"/>
    <s v="28-Jul-23"/>
    <x v="6"/>
    <x v="2"/>
    <s v="Shreyas Hegde"/>
    <x v="0"/>
    <s v="Bengaluru"/>
    <s v="Karnataka"/>
    <x v="0"/>
    <x v="4"/>
    <s v="Dell"/>
    <n v="1"/>
    <n v="62000"/>
    <n v="0"/>
    <n v="62000"/>
    <n v="62000"/>
    <x v="2"/>
    <s v="Delivered"/>
  </r>
  <r>
    <n v="68"/>
    <s v="23-Aug-23"/>
    <x v="7"/>
    <x v="2"/>
    <s v="Arjun Gupta"/>
    <x v="1"/>
    <s v="Jaipur"/>
    <s v="Rajasthan"/>
    <x v="5"/>
    <x v="28"/>
    <s v="Boldfit"/>
    <n v="2"/>
    <n v="549"/>
    <n v="0"/>
    <n v="1098"/>
    <n v="1098"/>
    <x v="1"/>
    <s v="Delivered"/>
  </r>
  <r>
    <n v="69"/>
    <s v="12-Sep-23"/>
    <x v="8"/>
    <x v="2"/>
    <s v="Yash Doshi"/>
    <x v="0"/>
    <s v="Rajkot"/>
    <s v="Gujarat"/>
    <x v="0"/>
    <x v="6"/>
    <s v="Samsung"/>
    <n v="1"/>
    <n v="54999"/>
    <n v="0"/>
    <n v="54999"/>
    <n v="54999"/>
    <x v="0"/>
    <s v="Delivered"/>
  </r>
  <r>
    <n v="70"/>
    <s v="25-Oct-23"/>
    <x v="9"/>
    <x v="3"/>
    <s v="Preeti Ghosh"/>
    <x v="0"/>
    <s v="Kolkata"/>
    <s v="West Bengal"/>
    <x v="0"/>
    <x v="0"/>
    <s v="Apple"/>
    <n v="1"/>
    <n v="79999"/>
    <n v="0.1"/>
    <n v="79999"/>
    <n v="71999.100000000006"/>
    <x v="0"/>
    <s v="Delivered"/>
  </r>
  <r>
    <n v="71"/>
    <s v="22-Nov-23"/>
    <x v="10"/>
    <x v="3"/>
    <s v="Mohit Rawat"/>
    <x v="2"/>
    <s v="Dehradun"/>
    <s v="Uttarakhand"/>
    <x v="0"/>
    <x v="17"/>
    <s v="OnePlus"/>
    <n v="1"/>
    <n v="24999"/>
    <n v="0.1"/>
    <n v="24999"/>
    <n v="22499.1"/>
    <x v="2"/>
    <s v="Delivered"/>
  </r>
  <r>
    <n v="72"/>
    <s v="15-Dec-23"/>
    <x v="11"/>
    <x v="3"/>
    <s v="Shreyas Hegde"/>
    <x v="0"/>
    <s v="Bengaluru"/>
    <s v="Karnataka"/>
    <x v="0"/>
    <x v="0"/>
    <s v="Apple"/>
    <n v="1"/>
    <n v="79999"/>
    <n v="0"/>
    <n v="79999"/>
    <n v="79999"/>
    <x v="0"/>
    <s v="Delivered"/>
  </r>
  <r>
    <n v="72"/>
    <s v="15-Dec-23"/>
    <x v="11"/>
    <x v="3"/>
    <s v="Shreyas Hegde"/>
    <x v="0"/>
    <s v="Bengaluru"/>
    <s v="Karnataka"/>
    <x v="0"/>
    <x v="4"/>
    <s v="Dell"/>
    <n v="1"/>
    <n v="62000"/>
    <n v="0"/>
    <n v="62000"/>
    <n v="62000"/>
    <x v="0"/>
    <s v="Delivere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8532BF1-E28E-44DF-A91B-58B8CA7F3D7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C6" firstHeaderRow="0" firstDataRow="1" firstDataCol="1"/>
  <pivotFields count="18">
    <pivotField dataField="1" showAll="0"/>
    <pivotField showAll="0"/>
    <pivotField axis="axisRow" showAll="0">
      <items count="13">
        <item x="3"/>
        <item x="7"/>
        <item x="11"/>
        <item x="1"/>
        <item x="0"/>
        <item x="6"/>
        <item x="5"/>
        <item x="2"/>
        <item x="4"/>
        <item x="10"/>
        <item x="9"/>
        <item x="8"/>
        <item t="default"/>
      </items>
    </pivotField>
    <pivotField showAll="0">
      <items count="5">
        <item x="0"/>
        <item h="1" x="1"/>
        <item h="1" x="2"/>
        <item h="1" x="3"/>
        <item t="default"/>
      </items>
    </pivotField>
    <pivotField showAll="0"/>
    <pivotField showAll="0">
      <items count="4">
        <item x="2"/>
        <item x="1"/>
        <item h="1" x="0"/>
        <item t="default"/>
      </items>
    </pivotField>
    <pivotField showAll="0"/>
    <pivotField showAll="0"/>
    <pivotField showAll="0">
      <items count="7">
        <item h="1" x="4"/>
        <item x="2"/>
        <item h="1" x="1"/>
        <item x="0"/>
        <item h="1" x="3"/>
        <item h="1" x="5"/>
        <item t="default"/>
      </items>
    </pivotField>
    <pivotField showAll="0"/>
    <pivotField showAll="0"/>
    <pivotField showAll="0"/>
    <pivotField numFmtId="3" showAll="0"/>
    <pivotField numFmtId="9" showAll="0"/>
    <pivotField numFmtId="3" showAll="0"/>
    <pivotField dataField="1" numFmtId="3" showAll="0"/>
    <pivotField showAll="0"/>
    <pivotField showAll="0"/>
  </pivotFields>
  <rowFields count="1">
    <field x="2"/>
  </rowFields>
  <rowItems count="3">
    <i>
      <x v="4"/>
    </i>
    <i>
      <x v="7"/>
    </i>
    <i t="grand">
      <x/>
    </i>
  </rowItems>
  <colFields count="1">
    <field x="-2"/>
  </colFields>
  <colItems count="2">
    <i>
      <x/>
    </i>
    <i i="1">
      <x v="1"/>
    </i>
  </colItems>
  <dataFields count="2">
    <dataField name="Sum of Net Revenue (₹)" fld="15" baseField="0" baseItem="0" numFmtId="166"/>
    <dataField name="Count of Order ID" fld="0" subtotal="count" baseField="2" baseItem="9"/>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47BF39C-3D12-483C-AC56-A80865A3526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E8" firstHeaderRow="1" firstDataRow="3" firstDataCol="1"/>
  <pivotFields count="18">
    <pivotField showAll="0"/>
    <pivotField showAll="0"/>
    <pivotField showAll="0"/>
    <pivotField axis="axisCol" showAll="0">
      <items count="5">
        <item x="0"/>
        <item h="1" x="1"/>
        <item h="1" x="2"/>
        <item h="1" x="3"/>
        <item t="default"/>
      </items>
    </pivotField>
    <pivotField showAll="0"/>
    <pivotField showAll="0">
      <items count="4">
        <item x="2"/>
        <item x="1"/>
        <item h="1" x="0"/>
        <item t="default"/>
      </items>
    </pivotField>
    <pivotField showAll="0"/>
    <pivotField showAll="0"/>
    <pivotField axis="axisRow" showAll="0">
      <items count="7">
        <item h="1" x="4"/>
        <item x="2"/>
        <item h="1" x="1"/>
        <item x="0"/>
        <item h="1" x="3"/>
        <item h="1" x="5"/>
        <item t="default"/>
      </items>
    </pivotField>
    <pivotField showAll="0"/>
    <pivotField showAll="0"/>
    <pivotField dataField="1" showAll="0"/>
    <pivotField numFmtId="3" showAll="0"/>
    <pivotField numFmtId="9" showAll="0"/>
    <pivotField numFmtId="3" showAll="0"/>
    <pivotField dataField="1" numFmtId="3" showAll="0"/>
    <pivotField showAll="0"/>
    <pivotField showAll="0"/>
  </pivotFields>
  <rowFields count="1">
    <field x="8"/>
  </rowFields>
  <rowItems count="3">
    <i>
      <x v="1"/>
    </i>
    <i>
      <x v="3"/>
    </i>
    <i t="grand">
      <x/>
    </i>
  </rowItems>
  <colFields count="2">
    <field x="3"/>
    <field x="-2"/>
  </colFields>
  <colItems count="4">
    <i>
      <x/>
      <x/>
    </i>
    <i r="1" i="1">
      <x v="1"/>
    </i>
    <i t="grand">
      <x/>
    </i>
    <i t="grand" i="1">
      <x/>
    </i>
  </colItems>
  <dataFields count="2">
    <dataField name="Sum of Net Revenue (₹)" fld="15" baseField="0" baseItem="0" numFmtId="3"/>
    <dataField name="Sum of Units Sold" fld="11" baseField="0" baseItem="0"/>
  </dataFields>
  <chartFormats count="12">
    <chartFormat chart="0" format="0" series="1">
      <pivotArea type="data" outline="0" fieldPosition="0">
        <references count="1">
          <reference field="3" count="1" selected="0">
            <x v="0"/>
          </reference>
        </references>
      </pivotArea>
    </chartFormat>
    <chartFormat chart="0" format="1" series="1">
      <pivotArea type="data" outline="0" fieldPosition="0">
        <references count="1">
          <reference field="3" count="1" selected="0">
            <x v="1"/>
          </reference>
        </references>
      </pivotArea>
    </chartFormat>
    <chartFormat chart="0" format="2" series="1">
      <pivotArea type="data" outline="0" fieldPosition="0">
        <references count="1">
          <reference field="3" count="1" selected="0">
            <x v="2"/>
          </reference>
        </references>
      </pivotArea>
    </chartFormat>
    <chartFormat chart="0" format="3" series="1">
      <pivotArea type="data" outline="0" fieldPosition="0">
        <references count="1">
          <reference field="3" count="1" selected="0">
            <x v="3"/>
          </reference>
        </references>
      </pivotArea>
    </chartFormat>
    <chartFormat chart="0" format="4" series="1">
      <pivotArea type="data" outline="0" fieldPosition="0">
        <references count="2">
          <reference field="4294967294" count="1" selected="0">
            <x v="0"/>
          </reference>
          <reference field="3" count="1" selected="0">
            <x v="2"/>
          </reference>
        </references>
      </pivotArea>
    </chartFormat>
    <chartFormat chart="0" format="5" series="1">
      <pivotArea type="data" outline="0" fieldPosition="0">
        <references count="2">
          <reference field="4294967294" count="1" selected="0">
            <x v="1"/>
          </reference>
          <reference field="3" count="1" selected="0">
            <x v="2"/>
          </reference>
        </references>
      </pivotArea>
    </chartFormat>
    <chartFormat chart="0" format="6" series="1">
      <pivotArea type="data" outline="0" fieldPosition="0">
        <references count="2">
          <reference field="4294967294" count="1" selected="0">
            <x v="0"/>
          </reference>
          <reference field="3" count="1" selected="0">
            <x v="3"/>
          </reference>
        </references>
      </pivotArea>
    </chartFormat>
    <chartFormat chart="0" format="7" series="1">
      <pivotArea type="data" outline="0" fieldPosition="0">
        <references count="2">
          <reference field="4294967294" count="1" selected="0">
            <x v="1"/>
          </reference>
          <reference field="3" count="1" selected="0">
            <x v="3"/>
          </reference>
        </references>
      </pivotArea>
    </chartFormat>
    <chartFormat chart="0" format="8" series="1">
      <pivotArea type="data" outline="0" fieldPosition="0">
        <references count="2">
          <reference field="4294967294" count="1" selected="0">
            <x v="0"/>
          </reference>
          <reference field="3" count="1" selected="0">
            <x v="1"/>
          </reference>
        </references>
      </pivotArea>
    </chartFormat>
    <chartFormat chart="0" format="9" series="1">
      <pivotArea type="data" outline="0" fieldPosition="0">
        <references count="2">
          <reference field="4294967294" count="1" selected="0">
            <x v="1"/>
          </reference>
          <reference field="3" count="1" selected="0">
            <x v="1"/>
          </reference>
        </references>
      </pivotArea>
    </chartFormat>
    <chartFormat chart="0" format="10" series="1">
      <pivotArea type="data" outline="0" fieldPosition="0">
        <references count="2">
          <reference field="4294967294" count="1" selected="0">
            <x v="0"/>
          </reference>
          <reference field="3" count="1" selected="0">
            <x v="0"/>
          </reference>
        </references>
      </pivotArea>
    </chartFormat>
    <chartFormat chart="0" format="11" series="1">
      <pivotArea type="data" outline="0" fieldPosition="0">
        <references count="2">
          <reference field="4294967294" count="1" selected="0">
            <x v="1"/>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DF4C7F1-F335-4470-A789-36D8675A795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C7" firstHeaderRow="1" firstDataRow="2" firstDataCol="1"/>
  <pivotFields count="18">
    <pivotField showAll="0"/>
    <pivotField showAll="0"/>
    <pivotField showAll="0"/>
    <pivotField axis="axisCol" showAll="0">
      <items count="5">
        <item x="0"/>
        <item h="1" x="1"/>
        <item h="1" x="2"/>
        <item h="1" x="3"/>
        <item t="default"/>
      </items>
    </pivotField>
    <pivotField showAll="0"/>
    <pivotField axis="axisRow" showAll="0">
      <items count="4">
        <item x="2"/>
        <item x="1"/>
        <item h="1" x="0"/>
        <item t="default"/>
      </items>
    </pivotField>
    <pivotField showAll="0"/>
    <pivotField showAll="0"/>
    <pivotField showAll="0">
      <items count="7">
        <item h="1" x="4"/>
        <item x="2"/>
        <item h="1" x="1"/>
        <item x="0"/>
        <item h="1" x="3"/>
        <item h="1" x="5"/>
        <item t="default"/>
      </items>
    </pivotField>
    <pivotField showAll="0"/>
    <pivotField showAll="0"/>
    <pivotField showAll="0"/>
    <pivotField numFmtId="3" showAll="0"/>
    <pivotField numFmtId="9" showAll="0"/>
    <pivotField numFmtId="3" showAll="0"/>
    <pivotField dataField="1" numFmtId="3" showAll="0"/>
    <pivotField showAll="0"/>
    <pivotField showAll="0"/>
  </pivotFields>
  <rowFields count="1">
    <field x="5"/>
  </rowFields>
  <rowItems count="3">
    <i>
      <x/>
    </i>
    <i>
      <x v="1"/>
    </i>
    <i t="grand">
      <x/>
    </i>
  </rowItems>
  <colFields count="1">
    <field x="3"/>
  </colFields>
  <colItems count="2">
    <i>
      <x/>
    </i>
    <i t="grand">
      <x/>
    </i>
  </colItems>
  <dataFields count="1">
    <dataField name="Sum of Net Revenue (₹)" fld="15" baseField="0" baseItem="0" numFmtId="3"/>
  </dataFields>
  <chartFormats count="8">
    <chartFormat chart="0" format="0" series="1">
      <pivotArea type="data" outline="0" fieldPosition="0">
        <references count="1">
          <reference field="3" count="1" selected="0">
            <x v="0"/>
          </reference>
        </references>
      </pivotArea>
    </chartFormat>
    <chartFormat chart="0" format="1" series="1">
      <pivotArea type="data" outline="0" fieldPosition="0">
        <references count="1">
          <reference field="3" count="1" selected="0">
            <x v="1"/>
          </reference>
        </references>
      </pivotArea>
    </chartFormat>
    <chartFormat chart="0" format="2" series="1">
      <pivotArea type="data" outline="0" fieldPosition="0">
        <references count="1">
          <reference field="3" count="1" selected="0">
            <x v="2"/>
          </reference>
        </references>
      </pivotArea>
    </chartFormat>
    <chartFormat chart="0" format="3" series="1">
      <pivotArea type="data" outline="0" fieldPosition="0">
        <references count="1">
          <reference field="3" count="1" selected="0">
            <x v="3"/>
          </reference>
        </references>
      </pivotArea>
    </chartFormat>
    <chartFormat chart="0" format="4" series="1">
      <pivotArea type="data" outline="0" fieldPosition="0">
        <references count="2">
          <reference field="4294967294" count="1" selected="0">
            <x v="0"/>
          </reference>
          <reference field="3" count="1" selected="0">
            <x v="1"/>
          </reference>
        </references>
      </pivotArea>
    </chartFormat>
    <chartFormat chart="0" format="5" series="1">
      <pivotArea type="data" outline="0" fieldPosition="0">
        <references count="2">
          <reference field="4294967294" count="1" selected="0">
            <x v="0"/>
          </reference>
          <reference field="3" count="1" selected="0">
            <x v="2"/>
          </reference>
        </references>
      </pivotArea>
    </chartFormat>
    <chartFormat chart="0" format="6" series="1">
      <pivotArea type="data" outline="0" fieldPosition="0">
        <references count="2">
          <reference field="4294967294" count="1" selected="0">
            <x v="0"/>
          </reference>
          <reference field="3" count="1" selected="0">
            <x v="3"/>
          </reference>
        </references>
      </pivotArea>
    </chartFormat>
    <chartFormat chart="0" format="7" series="1">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A72FD4A-EB2D-4F3D-9EC2-B9AF4522B30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G10" firstHeaderRow="1" firstDataRow="3" firstDataCol="1"/>
  <pivotFields count="18">
    <pivotField showAll="0"/>
    <pivotField showAll="0"/>
    <pivotField showAll="0"/>
    <pivotField showAll="0">
      <items count="5">
        <item x="0"/>
        <item h="1" x="1"/>
        <item h="1" x="2"/>
        <item h="1" x="3"/>
        <item t="default"/>
      </items>
    </pivotField>
    <pivotField showAll="0"/>
    <pivotField showAll="0">
      <items count="4">
        <item x="2"/>
        <item x="1"/>
        <item h="1" x="0"/>
        <item t="default"/>
      </items>
    </pivotField>
    <pivotField showAll="0"/>
    <pivotField showAll="0"/>
    <pivotField axis="axisCol" showAll="0">
      <items count="7">
        <item h="1" x="4"/>
        <item x="2"/>
        <item h="1" x="1"/>
        <item x="0"/>
        <item h="1" x="3"/>
        <item h="1" x="5"/>
        <item t="default"/>
      </items>
    </pivotField>
    <pivotField axis="axisRow" showAll="0" measureFilter="1">
      <items count="30">
        <item x="7"/>
        <item x="3"/>
        <item x="16"/>
        <item x="28"/>
        <item x="15"/>
        <item x="12"/>
        <item x="23"/>
        <item x="27"/>
        <item x="4"/>
        <item x="21"/>
        <item x="25"/>
        <item x="22"/>
        <item x="0"/>
        <item x="2"/>
        <item x="20"/>
        <item x="10"/>
        <item x="5"/>
        <item x="14"/>
        <item x="26"/>
        <item x="17"/>
        <item x="11"/>
        <item x="13"/>
        <item x="9"/>
        <item x="18"/>
        <item x="6"/>
        <item x="1"/>
        <item x="8"/>
        <item x="19"/>
        <item x="24"/>
        <item t="default"/>
      </items>
    </pivotField>
    <pivotField showAll="0"/>
    <pivotField dataField="1" showAll="0"/>
    <pivotField numFmtId="3" showAll="0"/>
    <pivotField numFmtId="9" showAll="0"/>
    <pivotField numFmtId="3" showAll="0"/>
    <pivotField dataField="1" numFmtId="3" showAll="0"/>
    <pivotField showAll="0"/>
    <pivotField showAll="0"/>
  </pivotFields>
  <rowFields count="1">
    <field x="9"/>
  </rowFields>
  <rowItems count="5">
    <i>
      <x v="1"/>
    </i>
    <i>
      <x v="8"/>
    </i>
    <i>
      <x v="24"/>
    </i>
    <i>
      <x v="26"/>
    </i>
    <i t="grand">
      <x/>
    </i>
  </rowItems>
  <colFields count="2">
    <field x="8"/>
    <field x="-2"/>
  </colFields>
  <colItems count="6">
    <i>
      <x v="1"/>
      <x/>
    </i>
    <i r="1" i="1">
      <x v="1"/>
    </i>
    <i>
      <x v="3"/>
      <x/>
    </i>
    <i r="1" i="1">
      <x v="1"/>
    </i>
    <i t="grand">
      <x/>
    </i>
    <i t="grand" i="1">
      <x/>
    </i>
  </colItems>
  <dataFields count="2">
    <dataField name="Sum of Net Revenue (₹)" fld="15" baseField="0" baseItem="0" numFmtId="3"/>
    <dataField name="Sum of Units Sold" fld="11" baseField="0" baseItem="0"/>
  </dataFields>
  <chartFormats count="18">
    <chartFormat chart="0" format="0" series="1">
      <pivotArea type="data" outline="0" fieldPosition="0">
        <references count="1">
          <reference field="8" count="1" selected="0">
            <x v="0"/>
          </reference>
        </references>
      </pivotArea>
    </chartFormat>
    <chartFormat chart="0" format="1" series="1">
      <pivotArea type="data" outline="0" fieldPosition="0">
        <references count="1">
          <reference field="8" count="1" selected="0">
            <x v="1"/>
          </reference>
        </references>
      </pivotArea>
    </chartFormat>
    <chartFormat chart="0" format="2" series="1">
      <pivotArea type="data" outline="0" fieldPosition="0">
        <references count="1">
          <reference field="8" count="1" selected="0">
            <x v="2"/>
          </reference>
        </references>
      </pivotArea>
    </chartFormat>
    <chartFormat chart="0" format="3" series="1">
      <pivotArea type="data" outline="0" fieldPosition="0">
        <references count="1">
          <reference field="8" count="1" selected="0">
            <x v="3"/>
          </reference>
        </references>
      </pivotArea>
    </chartFormat>
    <chartFormat chart="0" format="4" series="1">
      <pivotArea type="data" outline="0" fieldPosition="0">
        <references count="1">
          <reference field="8" count="1" selected="0">
            <x v="4"/>
          </reference>
        </references>
      </pivotArea>
    </chartFormat>
    <chartFormat chart="0" format="5" series="1">
      <pivotArea type="data" outline="0" fieldPosition="0">
        <references count="1">
          <reference field="8" count="1" selected="0">
            <x v="5"/>
          </reference>
        </references>
      </pivotArea>
    </chartFormat>
    <chartFormat chart="0" format="6" series="1">
      <pivotArea type="data" outline="0" fieldPosition="0">
        <references count="2">
          <reference field="4294967294" count="1" selected="0">
            <x v="0"/>
          </reference>
          <reference field="8" count="1" selected="0">
            <x v="3"/>
          </reference>
        </references>
      </pivotArea>
    </chartFormat>
    <chartFormat chart="0" format="7" series="1">
      <pivotArea type="data" outline="0" fieldPosition="0">
        <references count="2">
          <reference field="4294967294" count="1" selected="0">
            <x v="1"/>
          </reference>
          <reference field="8" count="1" selected="0">
            <x v="3"/>
          </reference>
        </references>
      </pivotArea>
    </chartFormat>
    <chartFormat chart="0" format="8" series="1">
      <pivotArea type="data" outline="0" fieldPosition="0">
        <references count="2">
          <reference field="4294967294" count="1" selected="0">
            <x v="0"/>
          </reference>
          <reference field="8" count="1" selected="0">
            <x v="4"/>
          </reference>
        </references>
      </pivotArea>
    </chartFormat>
    <chartFormat chart="0" format="9" series="1">
      <pivotArea type="data" outline="0" fieldPosition="0">
        <references count="2">
          <reference field="4294967294" count="1" selected="0">
            <x v="1"/>
          </reference>
          <reference field="8" count="1" selected="0">
            <x v="4"/>
          </reference>
        </references>
      </pivotArea>
    </chartFormat>
    <chartFormat chart="0" format="10" series="1">
      <pivotArea type="data" outline="0" fieldPosition="0">
        <references count="2">
          <reference field="4294967294" count="1" selected="0">
            <x v="0"/>
          </reference>
          <reference field="8" count="1" selected="0">
            <x v="5"/>
          </reference>
        </references>
      </pivotArea>
    </chartFormat>
    <chartFormat chart="0" format="11" series="1">
      <pivotArea type="data" outline="0" fieldPosition="0">
        <references count="2">
          <reference field="4294967294" count="1" selected="0">
            <x v="1"/>
          </reference>
          <reference field="8" count="1" selected="0">
            <x v="5"/>
          </reference>
        </references>
      </pivotArea>
    </chartFormat>
    <chartFormat chart="0" format="12" series="1">
      <pivotArea type="data" outline="0" fieldPosition="0">
        <references count="2">
          <reference field="4294967294" count="1" selected="0">
            <x v="0"/>
          </reference>
          <reference field="8" count="1" selected="0">
            <x v="1"/>
          </reference>
        </references>
      </pivotArea>
    </chartFormat>
    <chartFormat chart="0" format="13" series="1">
      <pivotArea type="data" outline="0" fieldPosition="0">
        <references count="2">
          <reference field="4294967294" count="1" selected="0">
            <x v="1"/>
          </reference>
          <reference field="8" count="1" selected="0">
            <x v="1"/>
          </reference>
        </references>
      </pivotArea>
    </chartFormat>
    <chartFormat chart="0" format="14" series="1">
      <pivotArea type="data" outline="0" fieldPosition="0">
        <references count="2">
          <reference field="4294967294" count="1" selected="0">
            <x v="0"/>
          </reference>
          <reference field="8" count="1" selected="0">
            <x v="2"/>
          </reference>
        </references>
      </pivotArea>
    </chartFormat>
    <chartFormat chart="0" format="15" series="1">
      <pivotArea type="data" outline="0" fieldPosition="0">
        <references count="2">
          <reference field="4294967294" count="1" selected="0">
            <x v="1"/>
          </reference>
          <reference field="8" count="1" selected="0">
            <x v="2"/>
          </reference>
        </references>
      </pivotArea>
    </chartFormat>
    <chartFormat chart="0" format="16" series="1">
      <pivotArea type="data" outline="0" fieldPosition="0">
        <references count="2">
          <reference field="4294967294" count="1" selected="0">
            <x v="0"/>
          </reference>
          <reference field="8" count="1" selected="0">
            <x v="0"/>
          </reference>
        </references>
      </pivotArea>
    </chartFormat>
    <chartFormat chart="0" format="17" series="1">
      <pivotArea type="data" outline="0" fieldPosition="0">
        <references count="2">
          <reference field="4294967294" count="1" selected="0">
            <x v="1"/>
          </reference>
          <reference field="8"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A4CEBA8-D678-433C-BAF2-CC109D1ED10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G8" firstHeaderRow="1" firstDataRow="3" firstDataCol="1"/>
  <pivotFields count="18">
    <pivotField dataField="1" showAll="0"/>
    <pivotField showAll="0"/>
    <pivotField axis="axisCol" showAll="0">
      <items count="13">
        <item x="3"/>
        <item x="7"/>
        <item x="11"/>
        <item x="1"/>
        <item x="0"/>
        <item x="6"/>
        <item x="5"/>
        <item x="2"/>
        <item x="4"/>
        <item x="10"/>
        <item x="9"/>
        <item x="8"/>
        <item t="default"/>
      </items>
    </pivotField>
    <pivotField showAll="0">
      <items count="5">
        <item x="0"/>
        <item h="1" x="1"/>
        <item h="1" x="2"/>
        <item h="1" x="3"/>
        <item t="default"/>
      </items>
    </pivotField>
    <pivotField showAll="0"/>
    <pivotField showAll="0">
      <items count="4">
        <item x="2"/>
        <item x="1"/>
        <item h="1" x="0"/>
        <item t="default"/>
      </items>
    </pivotField>
    <pivotField showAll="0"/>
    <pivotField showAll="0"/>
    <pivotField showAll="0">
      <items count="7">
        <item h="1" x="4"/>
        <item x="2"/>
        <item h="1" x="1"/>
        <item x="0"/>
        <item h="1" x="3"/>
        <item h="1" x="5"/>
        <item t="default"/>
      </items>
    </pivotField>
    <pivotField showAll="0"/>
    <pivotField showAll="0"/>
    <pivotField showAll="0"/>
    <pivotField numFmtId="3" showAll="0"/>
    <pivotField numFmtId="9" showAll="0"/>
    <pivotField numFmtId="3" showAll="0"/>
    <pivotField dataField="1" numFmtId="3" showAll="0"/>
    <pivotField axis="axisRow" showAll="0">
      <items count="6">
        <item x="0"/>
        <item x="3"/>
        <item x="2"/>
        <item x="1"/>
        <item x="4"/>
        <item t="default"/>
      </items>
    </pivotField>
    <pivotField showAll="0"/>
  </pivotFields>
  <rowFields count="1">
    <field x="16"/>
  </rowFields>
  <rowItems count="3">
    <i>
      <x/>
    </i>
    <i>
      <x v="3"/>
    </i>
    <i t="grand">
      <x/>
    </i>
  </rowItems>
  <colFields count="2">
    <field x="2"/>
    <field x="-2"/>
  </colFields>
  <colItems count="6">
    <i>
      <x v="4"/>
      <x/>
    </i>
    <i r="1" i="1">
      <x v="1"/>
    </i>
    <i>
      <x v="7"/>
      <x/>
    </i>
    <i r="1" i="1">
      <x v="1"/>
    </i>
    <i t="grand">
      <x/>
    </i>
    <i t="grand" i="1">
      <x/>
    </i>
  </colItems>
  <dataFields count="2">
    <dataField name="Sum of Net Revenue (₹)" fld="15" baseField="0" baseItem="0" numFmtId="3"/>
    <dataField name="Count of Order ID" fld="0" subtotal="count" baseField="16" baseItem="0"/>
  </dataFields>
  <chartFormats count="36">
    <chartFormat chart="0" format="0" series="1">
      <pivotArea type="data" outline="0" fieldPosition="0">
        <references count="1">
          <reference field="2" count="1" selected="0">
            <x v="0"/>
          </reference>
        </references>
      </pivotArea>
    </chartFormat>
    <chartFormat chart="0" format="1" series="1">
      <pivotArea type="data" outline="0" fieldPosition="0">
        <references count="1">
          <reference field="2" count="1" selected="0">
            <x v="1"/>
          </reference>
        </references>
      </pivotArea>
    </chartFormat>
    <chartFormat chart="0" format="2" series="1">
      <pivotArea type="data" outline="0" fieldPosition="0">
        <references count="1">
          <reference field="2" count="1" selected="0">
            <x v="2"/>
          </reference>
        </references>
      </pivotArea>
    </chartFormat>
    <chartFormat chart="0" format="3" series="1">
      <pivotArea type="data" outline="0" fieldPosition="0">
        <references count="1">
          <reference field="2" count="1" selected="0">
            <x v="3"/>
          </reference>
        </references>
      </pivotArea>
    </chartFormat>
    <chartFormat chart="0" format="4" series="1">
      <pivotArea type="data" outline="0" fieldPosition="0">
        <references count="1">
          <reference field="2" count="1" selected="0">
            <x v="4"/>
          </reference>
        </references>
      </pivotArea>
    </chartFormat>
    <chartFormat chart="0" format="5" series="1">
      <pivotArea type="data" outline="0" fieldPosition="0">
        <references count="1">
          <reference field="2" count="1" selected="0">
            <x v="5"/>
          </reference>
        </references>
      </pivotArea>
    </chartFormat>
    <chartFormat chart="0" format="6" series="1">
      <pivotArea type="data" outline="0" fieldPosition="0">
        <references count="1">
          <reference field="2" count="1" selected="0">
            <x v="6"/>
          </reference>
        </references>
      </pivotArea>
    </chartFormat>
    <chartFormat chart="0" format="7" series="1">
      <pivotArea type="data" outline="0" fieldPosition="0">
        <references count="1">
          <reference field="2" count="1" selected="0">
            <x v="7"/>
          </reference>
        </references>
      </pivotArea>
    </chartFormat>
    <chartFormat chart="0" format="8" series="1">
      <pivotArea type="data" outline="0" fieldPosition="0">
        <references count="1">
          <reference field="2" count="1" selected="0">
            <x v="8"/>
          </reference>
        </references>
      </pivotArea>
    </chartFormat>
    <chartFormat chart="0" format="9" series="1">
      <pivotArea type="data" outline="0" fieldPosition="0">
        <references count="1">
          <reference field="2" count="1" selected="0">
            <x v="9"/>
          </reference>
        </references>
      </pivotArea>
    </chartFormat>
    <chartFormat chart="0" format="10" series="1">
      <pivotArea type="data" outline="0" fieldPosition="0">
        <references count="1">
          <reference field="2" count="1" selected="0">
            <x v="10"/>
          </reference>
        </references>
      </pivotArea>
    </chartFormat>
    <chartFormat chart="0" format="11" series="1">
      <pivotArea type="data" outline="0" fieldPosition="0">
        <references count="1">
          <reference field="2" count="1" selected="0">
            <x v="11"/>
          </reference>
        </references>
      </pivotArea>
    </chartFormat>
    <chartFormat chart="0" format="12" series="1">
      <pivotArea type="data" outline="0" fieldPosition="0">
        <references count="2">
          <reference field="4294967294" count="1" selected="0">
            <x v="0"/>
          </reference>
          <reference field="2" count="1" selected="0">
            <x v="6"/>
          </reference>
        </references>
      </pivotArea>
    </chartFormat>
    <chartFormat chart="0" format="13" series="1">
      <pivotArea type="data" outline="0" fieldPosition="0">
        <references count="2">
          <reference field="4294967294" count="1" selected="0">
            <x v="1"/>
          </reference>
          <reference field="2" count="1" selected="0">
            <x v="6"/>
          </reference>
        </references>
      </pivotArea>
    </chartFormat>
    <chartFormat chart="0" format="14" series="1">
      <pivotArea type="data" outline="0" fieldPosition="0">
        <references count="2">
          <reference field="4294967294" count="1" selected="0">
            <x v="0"/>
          </reference>
          <reference field="2" count="1" selected="0">
            <x v="7"/>
          </reference>
        </references>
      </pivotArea>
    </chartFormat>
    <chartFormat chart="0" format="15" series="1">
      <pivotArea type="data" outline="0" fieldPosition="0">
        <references count="2">
          <reference field="4294967294" count="1" selected="0">
            <x v="1"/>
          </reference>
          <reference field="2" count="1" selected="0">
            <x v="7"/>
          </reference>
        </references>
      </pivotArea>
    </chartFormat>
    <chartFormat chart="0" format="16" series="1">
      <pivotArea type="data" outline="0" fieldPosition="0">
        <references count="2">
          <reference field="4294967294" count="1" selected="0">
            <x v="0"/>
          </reference>
          <reference field="2" count="1" selected="0">
            <x v="8"/>
          </reference>
        </references>
      </pivotArea>
    </chartFormat>
    <chartFormat chart="0" format="17" series="1">
      <pivotArea type="data" outline="0" fieldPosition="0">
        <references count="2">
          <reference field="4294967294" count="1" selected="0">
            <x v="1"/>
          </reference>
          <reference field="2" count="1" selected="0">
            <x v="8"/>
          </reference>
        </references>
      </pivotArea>
    </chartFormat>
    <chartFormat chart="0" format="18" series="1">
      <pivotArea type="data" outline="0" fieldPosition="0">
        <references count="2">
          <reference field="4294967294" count="1" selected="0">
            <x v="0"/>
          </reference>
          <reference field="2" count="1" selected="0">
            <x v="9"/>
          </reference>
        </references>
      </pivotArea>
    </chartFormat>
    <chartFormat chart="0" format="19" series="1">
      <pivotArea type="data" outline="0" fieldPosition="0">
        <references count="2">
          <reference field="4294967294" count="1" selected="0">
            <x v="1"/>
          </reference>
          <reference field="2" count="1" selected="0">
            <x v="9"/>
          </reference>
        </references>
      </pivotArea>
    </chartFormat>
    <chartFormat chart="0" format="20" series="1">
      <pivotArea type="data" outline="0" fieldPosition="0">
        <references count="2">
          <reference field="4294967294" count="1" selected="0">
            <x v="0"/>
          </reference>
          <reference field="2" count="1" selected="0">
            <x v="10"/>
          </reference>
        </references>
      </pivotArea>
    </chartFormat>
    <chartFormat chart="0" format="21" series="1">
      <pivotArea type="data" outline="0" fieldPosition="0">
        <references count="2">
          <reference field="4294967294" count="1" selected="0">
            <x v="1"/>
          </reference>
          <reference field="2" count="1" selected="0">
            <x v="10"/>
          </reference>
        </references>
      </pivotArea>
    </chartFormat>
    <chartFormat chart="0" format="22" series="1">
      <pivotArea type="data" outline="0" fieldPosition="0">
        <references count="2">
          <reference field="4294967294" count="1" selected="0">
            <x v="0"/>
          </reference>
          <reference field="2" count="1" selected="0">
            <x v="11"/>
          </reference>
        </references>
      </pivotArea>
    </chartFormat>
    <chartFormat chart="0" format="23" series="1">
      <pivotArea type="data" outline="0" fieldPosition="0">
        <references count="2">
          <reference field="4294967294" count="1" selected="0">
            <x v="1"/>
          </reference>
          <reference field="2" count="1" selected="0">
            <x v="11"/>
          </reference>
        </references>
      </pivotArea>
    </chartFormat>
    <chartFormat chart="0" format="24" series="1">
      <pivotArea type="data" outline="0" fieldPosition="0">
        <references count="2">
          <reference field="4294967294" count="1" selected="0">
            <x v="0"/>
          </reference>
          <reference field="2" count="1" selected="0">
            <x v="3"/>
          </reference>
        </references>
      </pivotArea>
    </chartFormat>
    <chartFormat chart="0" format="25" series="1">
      <pivotArea type="data" outline="0" fieldPosition="0">
        <references count="2">
          <reference field="4294967294" count="1" selected="0">
            <x v="1"/>
          </reference>
          <reference field="2" count="1" selected="0">
            <x v="3"/>
          </reference>
        </references>
      </pivotArea>
    </chartFormat>
    <chartFormat chart="0" format="26" series="1">
      <pivotArea type="data" outline="0" fieldPosition="0">
        <references count="2">
          <reference field="4294967294" count="1" selected="0">
            <x v="0"/>
          </reference>
          <reference field="2" count="1" selected="0">
            <x v="4"/>
          </reference>
        </references>
      </pivotArea>
    </chartFormat>
    <chartFormat chart="0" format="27" series="1">
      <pivotArea type="data" outline="0" fieldPosition="0">
        <references count="2">
          <reference field="4294967294" count="1" selected="0">
            <x v="1"/>
          </reference>
          <reference field="2" count="1" selected="0">
            <x v="4"/>
          </reference>
        </references>
      </pivotArea>
    </chartFormat>
    <chartFormat chart="0" format="28" series="1">
      <pivotArea type="data" outline="0" fieldPosition="0">
        <references count="2">
          <reference field="4294967294" count="1" selected="0">
            <x v="0"/>
          </reference>
          <reference field="2" count="1" selected="0">
            <x v="5"/>
          </reference>
        </references>
      </pivotArea>
    </chartFormat>
    <chartFormat chart="0" format="29" series="1">
      <pivotArea type="data" outline="0" fieldPosition="0">
        <references count="2">
          <reference field="4294967294" count="1" selected="0">
            <x v="1"/>
          </reference>
          <reference field="2" count="1" selected="0">
            <x v="5"/>
          </reference>
        </references>
      </pivotArea>
    </chartFormat>
    <chartFormat chart="0" format="30" series="1">
      <pivotArea type="data" outline="0" fieldPosition="0">
        <references count="2">
          <reference field="4294967294" count="1" selected="0">
            <x v="0"/>
          </reference>
          <reference field="2" count="1" selected="0">
            <x v="0"/>
          </reference>
        </references>
      </pivotArea>
    </chartFormat>
    <chartFormat chart="0" format="31" series="1">
      <pivotArea type="data" outline="0" fieldPosition="0">
        <references count="2">
          <reference field="4294967294" count="1" selected="0">
            <x v="1"/>
          </reference>
          <reference field="2" count="1" selected="0">
            <x v="0"/>
          </reference>
        </references>
      </pivotArea>
    </chartFormat>
    <chartFormat chart="0" format="32" series="1">
      <pivotArea type="data" outline="0" fieldPosition="0">
        <references count="2">
          <reference field="4294967294" count="1" selected="0">
            <x v="0"/>
          </reference>
          <reference field="2" count="1" selected="0">
            <x v="1"/>
          </reference>
        </references>
      </pivotArea>
    </chartFormat>
    <chartFormat chart="0" format="33" series="1">
      <pivotArea type="data" outline="0" fieldPosition="0">
        <references count="2">
          <reference field="4294967294" count="1" selected="0">
            <x v="1"/>
          </reference>
          <reference field="2" count="1" selected="0">
            <x v="1"/>
          </reference>
        </references>
      </pivotArea>
    </chartFormat>
    <chartFormat chart="0" format="34" series="1">
      <pivotArea type="data" outline="0" fieldPosition="0">
        <references count="2">
          <reference field="4294967294" count="1" selected="0">
            <x v="0"/>
          </reference>
          <reference field="2" count="1" selected="0">
            <x v="2"/>
          </reference>
        </references>
      </pivotArea>
    </chartFormat>
    <chartFormat chart="0" format="35" series="1">
      <pivotArea type="data" outline="0" fieldPosition="0">
        <references count="2">
          <reference field="4294967294" count="1" selected="0">
            <x v="1"/>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30A9D130-09A2-4FEF-A2E9-7A5A52168FA0}" sourceName="Quarter">
  <pivotTables>
    <pivotTable tabId="7" name="PivotTable1"/>
    <pivotTable tabId="8" name="PivotTable2"/>
    <pivotTable tabId="9" name="PivotTable3"/>
    <pivotTable tabId="11" name="PivotTable5"/>
    <pivotTable tabId="10" name="PivotTable4"/>
  </pivotTables>
  <data>
    <tabular pivotCacheId="1606426394">
      <items count="4">
        <i x="0" s="1"/>
        <i x="1"/>
        <i x="2"/>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95ECB244-AE64-4AD2-B3F8-213303845169}" sourceName="Segment">
  <pivotTables>
    <pivotTable tabId="7" name="PivotTable1"/>
    <pivotTable tabId="8" name="PivotTable2"/>
    <pivotTable tabId="9" name="PivotTable3"/>
    <pivotTable tabId="11" name="PivotTable5"/>
    <pivotTable tabId="10" name="PivotTable4"/>
  </pivotTables>
  <data>
    <tabular pivotCacheId="1606426394">
      <items count="3">
        <i x="2" s="1"/>
        <i x="1" s="1"/>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0897A2A-5894-4429-8BA0-9340DDEC8A93}" sourceName="Category">
  <pivotTables>
    <pivotTable tabId="7" name="PivotTable1"/>
    <pivotTable tabId="8" name="PivotTable2"/>
    <pivotTable tabId="9" name="PivotTable3"/>
    <pivotTable tabId="11" name="PivotTable5"/>
    <pivotTable tabId="10" name="PivotTable4"/>
  </pivotTables>
  <data>
    <tabular pivotCacheId="1606426394">
      <items count="6">
        <i x="4"/>
        <i x="2" s="1"/>
        <i x="1"/>
        <i x="0" s="1"/>
        <i x="3"/>
        <i x="5"/>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rter" xr10:uid="{87574A39-4086-4FCC-8782-341A0ECAE3DF}" cache="Slicer_Quarter" caption="Quarter" rowHeight="234950"/>
  <slicer name="Segment" xr10:uid="{D0405CE4-732E-4639-A1DA-D96CB4E26262}" cache="Slicer_Segment" caption="Segment" rowHeight="234950"/>
  <slicer name="Category" xr10:uid="{76CAB7AC-5B48-4E78-947A-E18C3500FBBA}" cache="Slicer_Category" caption="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29CC6B8-537C-42BC-9B5B-6CB125D5159B}" name="Table1" displayName="Table1" ref="A1:R108" totalsRowShown="0" headerRowDxfId="22" dataDxfId="20" headerRowBorderDxfId="21" tableBorderDxfId="19" totalsRowBorderDxfId="18">
  <autoFilter ref="A1:R108" xr:uid="{E29CC6B8-537C-42BC-9B5B-6CB125D5159B}"/>
  <tableColumns count="18">
    <tableColumn id="1" xr3:uid="{A3138915-7F90-4074-8CDA-C4F2F243CB6C}" name="Order ID" dataDxfId="17"/>
    <tableColumn id="2" xr3:uid="{B879999E-426C-4698-8940-B4686CBA47E9}" name="Order Date" dataDxfId="16"/>
    <tableColumn id="3" xr3:uid="{BF227441-BD71-4A6E-8FAF-A506903C1CF7}" name="Month" dataDxfId="15"/>
    <tableColumn id="4" xr3:uid="{23AAC2AA-48E1-4ABF-A5BF-01057760E7FD}" name="Quarter" dataDxfId="14"/>
    <tableColumn id="5" xr3:uid="{9980383C-510F-4820-8BC8-793675FA8EA1}" name="Customer Name" dataDxfId="13"/>
    <tableColumn id="6" xr3:uid="{455CC449-E8C0-4425-85AD-5CB6E5DACC69}" name="Segment" dataDxfId="12"/>
    <tableColumn id="7" xr3:uid="{233032AF-7F21-4403-93E2-FDBA46305AC4}" name="City" dataDxfId="11"/>
    <tableColumn id="8" xr3:uid="{4B6AA035-85D9-47BB-A260-109240B3B704}" name="State" dataDxfId="10"/>
    <tableColumn id="9" xr3:uid="{25978326-C86E-43BC-A245-FB9D36CB66B2}" name="Category" dataDxfId="9"/>
    <tableColumn id="10" xr3:uid="{B34D6774-FD7B-4B45-835F-C2BC9CAD4147}" name="Product Name" dataDxfId="8"/>
    <tableColumn id="11" xr3:uid="{0F0DF986-70D7-43DF-A9F8-AD0BED02AB46}" name="Brand" dataDxfId="7"/>
    <tableColumn id="12" xr3:uid="{BDF6F55B-BA3B-4568-BBE9-AE184B96EC82}" name="Units Sold" dataDxfId="6"/>
    <tableColumn id="13" xr3:uid="{31476077-F669-465A-9EB9-C5F81B15695F}" name="Unit Price (₹)" dataDxfId="5"/>
    <tableColumn id="14" xr3:uid="{CA4D5DC5-2B8F-4A0C-ACDA-D185EC3DC806}" name="Discount %" dataDxfId="4"/>
    <tableColumn id="15" xr3:uid="{AB882893-81BF-4ECB-A3F9-609FEBD62515}" name="Gross Revenue (₹)" dataDxfId="3"/>
    <tableColumn id="16" xr3:uid="{550BDC88-C6D9-401B-A23C-9A6AD1B95390}" name="Net Revenue (₹)" dataDxfId="2"/>
    <tableColumn id="17" xr3:uid="{C7A4BC1E-0B47-4691-AFB2-06B8144CC597}" name="Payment Method" dataDxfId="1"/>
    <tableColumn id="18" xr3:uid="{81C8944B-4677-4308-AD69-D45066849169}" name="Order Statu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33"/>
  <sheetViews>
    <sheetView showGridLines="0" zoomScale="90" zoomScaleNormal="90" workbookViewId="0">
      <selection activeCell="L20" sqref="L20"/>
    </sheetView>
  </sheetViews>
  <sheetFormatPr defaultColWidth="8.7109375" defaultRowHeight="15" x14ac:dyDescent="0.25"/>
  <cols>
    <col min="1" max="12" width="9" customWidth="1"/>
    <col min="13" max="13" width="12.7109375" customWidth="1"/>
    <col min="14" max="15" width="9" customWidth="1"/>
  </cols>
  <sheetData>
    <row r="1" spans="1:26" ht="43.5" customHeight="1" x14ac:dyDescent="0.25">
      <c r="A1" s="64" t="s">
        <v>0</v>
      </c>
      <c r="B1" s="64"/>
      <c r="C1" s="64"/>
      <c r="D1" s="64"/>
      <c r="E1" s="64"/>
      <c r="F1" s="64"/>
      <c r="G1" s="64"/>
      <c r="H1" s="64"/>
      <c r="I1" s="64"/>
      <c r="J1" s="64"/>
      <c r="K1" s="64"/>
      <c r="L1" s="64"/>
      <c r="M1" s="64"/>
      <c r="N1" s="64"/>
      <c r="O1" s="64"/>
    </row>
    <row r="2" spans="1:26" ht="7.5" customHeight="1" x14ac:dyDescent="0.25">
      <c r="A2" s="64"/>
      <c r="B2" s="64"/>
      <c r="C2" s="64"/>
      <c r="D2" s="64"/>
      <c r="E2" s="64"/>
      <c r="F2" s="64"/>
      <c r="G2" s="64"/>
      <c r="H2" s="64"/>
      <c r="I2" s="64"/>
      <c r="J2" s="64"/>
      <c r="K2" s="64"/>
      <c r="L2" s="64"/>
      <c r="M2" s="64"/>
      <c r="N2" s="64"/>
      <c r="O2" s="64"/>
    </row>
    <row r="3" spans="1:26" ht="21.75" customHeight="1" x14ac:dyDescent="0.25">
      <c r="A3" s="65" t="s">
        <v>1</v>
      </c>
      <c r="B3" s="65"/>
      <c r="C3" s="65"/>
      <c r="D3" s="66" t="s">
        <v>2</v>
      </c>
      <c r="E3" s="66"/>
      <c r="F3" s="66"/>
      <c r="G3" s="67" t="s">
        <v>3</v>
      </c>
      <c r="H3" s="67"/>
      <c r="I3" s="67"/>
      <c r="J3" s="68" t="s">
        <v>4</v>
      </c>
      <c r="K3" s="68"/>
      <c r="L3" s="68"/>
      <c r="M3" s="69" t="s">
        <v>5</v>
      </c>
      <c r="N3" s="69"/>
      <c r="O3" s="69"/>
    </row>
    <row r="4" spans="1:26" ht="33.75" customHeight="1" x14ac:dyDescent="0.25">
      <c r="A4" s="59" t="s">
        <v>6</v>
      </c>
      <c r="B4" s="59"/>
      <c r="C4" s="59"/>
      <c r="D4" s="60" t="s">
        <v>7</v>
      </c>
      <c r="E4" s="60"/>
      <c r="F4" s="60"/>
      <c r="G4" s="61" t="s">
        <v>8</v>
      </c>
      <c r="H4" s="61"/>
      <c r="I4" s="61"/>
      <c r="J4" s="62" t="s">
        <v>9</v>
      </c>
      <c r="K4" s="62"/>
      <c r="L4" s="62"/>
      <c r="M4" s="63" t="s">
        <v>10</v>
      </c>
      <c r="N4" s="63"/>
      <c r="O4" s="63"/>
    </row>
    <row r="5" spans="1:26" ht="33.75" customHeight="1" x14ac:dyDescent="0.25">
      <c r="A5" s="59"/>
      <c r="B5" s="59"/>
      <c r="C5" s="59"/>
      <c r="D5" s="60"/>
      <c r="E5" s="60"/>
      <c r="F5" s="60"/>
      <c r="G5" s="61"/>
      <c r="H5" s="61"/>
      <c r="I5" s="61"/>
      <c r="J5" s="62"/>
      <c r="K5" s="62"/>
      <c r="L5" s="62"/>
      <c r="M5" s="63"/>
      <c r="N5" s="63"/>
      <c r="O5" s="63"/>
    </row>
    <row r="6" spans="1:26" ht="18" customHeight="1" x14ac:dyDescent="0.25">
      <c r="A6" s="54" t="s">
        <v>11</v>
      </c>
      <c r="B6" s="54"/>
      <c r="C6" s="54"/>
      <c r="D6" s="55" t="s">
        <v>12</v>
      </c>
      <c r="E6" s="55"/>
      <c r="F6" s="55"/>
      <c r="G6" s="56" t="s">
        <v>13</v>
      </c>
      <c r="H6" s="56"/>
      <c r="I6" s="56"/>
      <c r="J6" s="57" t="s">
        <v>14</v>
      </c>
      <c r="K6" s="57"/>
      <c r="L6" s="57"/>
      <c r="M6" s="58" t="s">
        <v>15</v>
      </c>
      <c r="N6" s="58"/>
      <c r="O6" s="58"/>
    </row>
    <row r="7" spans="1:26" ht="17.45" customHeight="1" x14ac:dyDescent="0.25">
      <c r="S7" s="52" t="s">
        <v>17</v>
      </c>
      <c r="T7" s="52"/>
      <c r="U7" s="52"/>
      <c r="V7" s="52"/>
      <c r="W7" s="52"/>
      <c r="X7" s="52"/>
      <c r="Y7" s="52"/>
      <c r="Z7" s="52"/>
    </row>
    <row r="8" spans="1:26" ht="21.75" customHeight="1" x14ac:dyDescent="0.25">
      <c r="A8" s="51" t="s">
        <v>16</v>
      </c>
      <c r="B8" s="51"/>
      <c r="C8" s="51"/>
      <c r="D8" s="51"/>
      <c r="E8" s="51"/>
      <c r="F8" s="51"/>
      <c r="G8" s="51"/>
    </row>
    <row r="26" spans="1:15" ht="9.75" customHeight="1" x14ac:dyDescent="0.25"/>
    <row r="27" spans="1:15" ht="21.75" customHeight="1" x14ac:dyDescent="0.25">
      <c r="A27" s="53" t="s">
        <v>18</v>
      </c>
      <c r="B27" s="53"/>
      <c r="C27" s="53"/>
      <c r="D27" s="53"/>
      <c r="F27" s="53" t="s">
        <v>19</v>
      </c>
      <c r="G27" s="53"/>
      <c r="H27" s="53"/>
      <c r="I27" s="53"/>
      <c r="J27" s="53"/>
      <c r="L27" s="53" t="s">
        <v>20</v>
      </c>
      <c r="M27" s="53"/>
      <c r="N27" s="53"/>
      <c r="O27" s="53"/>
    </row>
    <row r="28" spans="1:15" ht="15" customHeight="1" x14ac:dyDescent="0.25">
      <c r="A28" s="1" t="s">
        <v>21</v>
      </c>
      <c r="B28" s="1" t="s">
        <v>22</v>
      </c>
      <c r="C28" s="1" t="s">
        <v>23</v>
      </c>
      <c r="D28" s="1" t="s">
        <v>24</v>
      </c>
      <c r="F28" s="1" t="s">
        <v>25</v>
      </c>
      <c r="G28" s="1" t="s">
        <v>26</v>
      </c>
      <c r="H28" s="1" t="s">
        <v>27</v>
      </c>
      <c r="L28" s="1" t="s">
        <v>28</v>
      </c>
      <c r="M28" s="1" t="s">
        <v>27</v>
      </c>
      <c r="N28" s="1" t="s">
        <v>29</v>
      </c>
    </row>
    <row r="29" spans="1:15" ht="15" customHeight="1" x14ac:dyDescent="0.25">
      <c r="A29" s="2" t="s">
        <v>30</v>
      </c>
      <c r="B29" s="2">
        <v>15</v>
      </c>
      <c r="C29" s="3">
        <v>429072.65</v>
      </c>
      <c r="D29" s="3">
        <v>28605</v>
      </c>
      <c r="F29" s="4" t="s">
        <v>31</v>
      </c>
      <c r="G29" s="4" t="s">
        <v>32</v>
      </c>
      <c r="H29" s="5">
        <v>1107986.1499999999</v>
      </c>
      <c r="L29" s="6" t="s">
        <v>33</v>
      </c>
      <c r="M29" s="7">
        <v>2125083.7000000002</v>
      </c>
      <c r="N29" s="8">
        <v>0.68266444650445701</v>
      </c>
    </row>
    <row r="30" spans="1:15" ht="15" customHeight="1" x14ac:dyDescent="0.25">
      <c r="A30" s="9" t="s">
        <v>34</v>
      </c>
      <c r="B30" s="9">
        <v>11</v>
      </c>
      <c r="C30" s="10">
        <v>332404.15000000002</v>
      </c>
      <c r="D30" s="10">
        <v>30219</v>
      </c>
      <c r="F30" s="11" t="s">
        <v>35</v>
      </c>
      <c r="G30" s="11" t="s">
        <v>32</v>
      </c>
      <c r="H30" s="12">
        <v>939300</v>
      </c>
      <c r="L30" s="11" t="s">
        <v>36</v>
      </c>
      <c r="M30" s="12">
        <v>855708.05</v>
      </c>
      <c r="N30" s="13">
        <v>0.27488868430107399</v>
      </c>
    </row>
    <row r="31" spans="1:15" ht="15" customHeight="1" x14ac:dyDescent="0.25">
      <c r="A31" s="6" t="s">
        <v>37</v>
      </c>
      <c r="B31" s="6">
        <v>15</v>
      </c>
      <c r="C31" s="7">
        <v>694521.9</v>
      </c>
      <c r="D31" s="7">
        <v>46301</v>
      </c>
      <c r="F31" s="14" t="s">
        <v>38</v>
      </c>
      <c r="G31" s="14" t="s">
        <v>32</v>
      </c>
      <c r="H31" s="15">
        <v>637988.4</v>
      </c>
      <c r="L31" s="16" t="s">
        <v>39</v>
      </c>
      <c r="M31" s="17">
        <v>132133.95000000001</v>
      </c>
      <c r="N31" s="18">
        <v>4.2446869194468703E-2</v>
      </c>
    </row>
    <row r="32" spans="1:15" ht="15" customHeight="1" x14ac:dyDescent="0.25">
      <c r="A32" s="19" t="s">
        <v>40</v>
      </c>
      <c r="B32" s="19">
        <v>30</v>
      </c>
      <c r="C32" s="20">
        <v>1656927</v>
      </c>
      <c r="D32" s="20">
        <v>55231</v>
      </c>
      <c r="F32" s="11" t="s">
        <v>41</v>
      </c>
      <c r="G32" s="11" t="s">
        <v>32</v>
      </c>
      <c r="H32" s="12">
        <v>143744.25</v>
      </c>
    </row>
    <row r="33" spans="6:8" ht="15" customHeight="1" x14ac:dyDescent="0.25">
      <c r="F33" s="14" t="s">
        <v>42</v>
      </c>
      <c r="G33" s="14" t="s">
        <v>32</v>
      </c>
      <c r="H33" s="15">
        <v>126853</v>
      </c>
    </row>
  </sheetData>
  <mergeCells count="21">
    <mergeCell ref="A1:O2"/>
    <mergeCell ref="A3:C3"/>
    <mergeCell ref="D3:F3"/>
    <mergeCell ref="G3:I3"/>
    <mergeCell ref="J3:L3"/>
    <mergeCell ref="M3:O3"/>
    <mergeCell ref="A4:C5"/>
    <mergeCell ref="D4:F5"/>
    <mergeCell ref="G4:I5"/>
    <mergeCell ref="J4:L5"/>
    <mergeCell ref="M4:O5"/>
    <mergeCell ref="A6:C6"/>
    <mergeCell ref="D6:F6"/>
    <mergeCell ref="G6:I6"/>
    <mergeCell ref="J6:L6"/>
    <mergeCell ref="M6:O6"/>
    <mergeCell ref="A8:G8"/>
    <mergeCell ref="S7:Z7"/>
    <mergeCell ref="A27:D27"/>
    <mergeCell ref="F27:J27"/>
    <mergeCell ref="L27:O27"/>
  </mergeCells>
  <pageMargins left="0.75" right="0.75" top="1" bottom="1"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6"/>
  <sheetViews>
    <sheetView showGridLines="0" zoomScale="72" zoomScaleNormal="100" workbookViewId="0">
      <selection activeCell="AA25" sqref="AA25"/>
    </sheetView>
  </sheetViews>
  <sheetFormatPr defaultColWidth="8.7109375" defaultRowHeight="15" x14ac:dyDescent="0.25"/>
  <cols>
    <col min="1" max="1" width="10" customWidth="1"/>
    <col min="2" max="2" width="8" customWidth="1"/>
    <col min="3" max="3" width="9" customWidth="1"/>
    <col min="4" max="4" width="11" customWidth="1"/>
    <col min="5" max="6" width="18" customWidth="1"/>
    <col min="7" max="7" width="16" customWidth="1"/>
    <col min="8" max="8" width="19" customWidth="1"/>
    <col min="9" max="9" width="14" customWidth="1"/>
    <col min="10" max="10" width="18" customWidth="1"/>
  </cols>
  <sheetData>
    <row r="1" spans="1:10" ht="36" customHeight="1" x14ac:dyDescent="0.25">
      <c r="A1" s="70" t="s">
        <v>253</v>
      </c>
      <c r="B1" s="70"/>
      <c r="C1" s="70"/>
      <c r="D1" s="70"/>
      <c r="E1" s="70"/>
      <c r="F1" s="70"/>
      <c r="G1" s="70"/>
      <c r="H1" s="70"/>
      <c r="I1" s="70"/>
    </row>
    <row r="3" spans="1:10" ht="21.75" customHeight="1" x14ac:dyDescent="0.25">
      <c r="A3" s="1" t="s">
        <v>45</v>
      </c>
      <c r="B3" s="1" t="s">
        <v>21</v>
      </c>
      <c r="C3" s="1" t="s">
        <v>22</v>
      </c>
      <c r="D3" s="1" t="s">
        <v>51</v>
      </c>
      <c r="E3" s="1" t="s">
        <v>54</v>
      </c>
      <c r="F3" s="1" t="s">
        <v>254</v>
      </c>
      <c r="G3" s="1" t="s">
        <v>23</v>
      </c>
      <c r="H3" s="1" t="s">
        <v>255</v>
      </c>
      <c r="I3" s="1" t="s">
        <v>256</v>
      </c>
      <c r="J3" s="28" t="s">
        <v>257</v>
      </c>
    </row>
    <row r="4" spans="1:10" ht="18" customHeight="1" x14ac:dyDescent="0.25">
      <c r="A4" s="11" t="s">
        <v>58</v>
      </c>
      <c r="B4" s="11" t="s">
        <v>30</v>
      </c>
      <c r="C4" s="11">
        <v>7</v>
      </c>
      <c r="D4" s="11">
        <v>18</v>
      </c>
      <c r="E4" s="12">
        <v>240528</v>
      </c>
      <c r="F4" s="12">
        <v>597.15</v>
      </c>
      <c r="G4" s="12">
        <v>239930.85</v>
      </c>
      <c r="H4" s="12">
        <v>34276</v>
      </c>
      <c r="I4" s="11" t="s">
        <v>258</v>
      </c>
      <c r="J4" s="29">
        <f>SUM($G$4:G4)</f>
        <v>239930.85</v>
      </c>
    </row>
    <row r="5" spans="1:10" ht="18" customHeight="1" x14ac:dyDescent="0.25">
      <c r="A5" s="14" t="s">
        <v>106</v>
      </c>
      <c r="B5" s="14" t="s">
        <v>30</v>
      </c>
      <c r="C5" s="14">
        <v>5</v>
      </c>
      <c r="D5" s="14">
        <v>12</v>
      </c>
      <c r="E5" s="15">
        <v>130275</v>
      </c>
      <c r="F5" s="15">
        <v>689.25</v>
      </c>
      <c r="G5" s="15">
        <v>129585.75</v>
      </c>
      <c r="H5" s="15">
        <v>25917</v>
      </c>
      <c r="I5" s="30">
        <f t="shared" ref="I5:I15" si="0">IFERROR((G5-G4)/G4,0)</f>
        <v>-0.45990375977078396</v>
      </c>
      <c r="J5" s="31">
        <f>SUM($G$4:G5)</f>
        <v>369516.6</v>
      </c>
    </row>
    <row r="6" spans="1:10" ht="18" customHeight="1" x14ac:dyDescent="0.25">
      <c r="A6" s="11" t="s">
        <v>129</v>
      </c>
      <c r="B6" s="11" t="s">
        <v>30</v>
      </c>
      <c r="C6" s="11">
        <v>3</v>
      </c>
      <c r="D6" s="11">
        <v>5</v>
      </c>
      <c r="E6" s="12">
        <v>65796</v>
      </c>
      <c r="F6" s="12">
        <v>6239.95</v>
      </c>
      <c r="G6" s="12">
        <v>59556.05</v>
      </c>
      <c r="H6" s="12">
        <v>19852</v>
      </c>
      <c r="I6" s="32">
        <f t="shared" si="0"/>
        <v>-0.54041204376252783</v>
      </c>
      <c r="J6" s="29">
        <f>SUM($G$4:G6)</f>
        <v>429072.64999999997</v>
      </c>
    </row>
    <row r="7" spans="1:10" ht="18" customHeight="1" x14ac:dyDescent="0.25">
      <c r="A7" s="14" t="s">
        <v>144</v>
      </c>
      <c r="B7" s="14" t="s">
        <v>34</v>
      </c>
      <c r="C7" s="14">
        <v>3</v>
      </c>
      <c r="D7" s="14">
        <v>13</v>
      </c>
      <c r="E7" s="15">
        <v>91478</v>
      </c>
      <c r="F7" s="15">
        <v>1469.35</v>
      </c>
      <c r="G7" s="15">
        <v>90008.65</v>
      </c>
      <c r="H7" s="15">
        <v>30003</v>
      </c>
      <c r="I7" s="30">
        <f t="shared" si="0"/>
        <v>0.51132672499267484</v>
      </c>
      <c r="J7" s="31">
        <f>SUM($G$4:G7)</f>
        <v>519081.29999999993</v>
      </c>
    </row>
    <row r="8" spans="1:10" ht="18" customHeight="1" x14ac:dyDescent="0.25">
      <c r="A8" s="11" t="s">
        <v>149</v>
      </c>
      <c r="B8" s="11" t="s">
        <v>34</v>
      </c>
      <c r="C8" s="11">
        <v>4</v>
      </c>
      <c r="D8" s="11">
        <v>13</v>
      </c>
      <c r="E8" s="12">
        <v>36387</v>
      </c>
      <c r="F8" s="12">
        <v>489.5</v>
      </c>
      <c r="G8" s="12">
        <v>35897.5</v>
      </c>
      <c r="H8" s="12">
        <v>8974</v>
      </c>
      <c r="I8" s="32">
        <f t="shared" si="0"/>
        <v>-0.6011772201893929</v>
      </c>
      <c r="J8" s="29">
        <f>SUM($G$4:G8)</f>
        <v>554978.79999999993</v>
      </c>
    </row>
    <row r="9" spans="1:10" ht="18" customHeight="1" x14ac:dyDescent="0.25">
      <c r="A9" s="14" t="s">
        <v>158</v>
      </c>
      <c r="B9" s="14" t="s">
        <v>34</v>
      </c>
      <c r="C9" s="14">
        <v>4</v>
      </c>
      <c r="D9" s="14">
        <v>4</v>
      </c>
      <c r="E9" s="15">
        <v>206498</v>
      </c>
      <c r="F9" s="15">
        <v>0</v>
      </c>
      <c r="G9" s="15">
        <v>206498</v>
      </c>
      <c r="H9" s="15">
        <v>51624</v>
      </c>
      <c r="I9" s="30">
        <f t="shared" si="0"/>
        <v>4.7524340135106904</v>
      </c>
      <c r="J9" s="31">
        <f>SUM($G$4:G9)</f>
        <v>761476.79999999993</v>
      </c>
    </row>
    <row r="10" spans="1:10" ht="18" customHeight="1" x14ac:dyDescent="0.25">
      <c r="A10" s="11" t="s">
        <v>164</v>
      </c>
      <c r="B10" s="11" t="s">
        <v>37</v>
      </c>
      <c r="C10" s="11">
        <v>6</v>
      </c>
      <c r="D10" s="11">
        <v>11</v>
      </c>
      <c r="E10" s="12">
        <v>277886</v>
      </c>
      <c r="F10" s="12">
        <v>9444.25</v>
      </c>
      <c r="G10" s="12">
        <v>268441.75</v>
      </c>
      <c r="H10" s="12">
        <v>44740</v>
      </c>
      <c r="I10" s="32">
        <f t="shared" si="0"/>
        <v>0.29997263896018361</v>
      </c>
      <c r="J10" s="29">
        <f>SUM($G$4:G10)</f>
        <v>1029918.5499999999</v>
      </c>
    </row>
    <row r="11" spans="1:10" ht="18" customHeight="1" x14ac:dyDescent="0.25">
      <c r="A11" s="14" t="s">
        <v>173</v>
      </c>
      <c r="B11" s="14" t="s">
        <v>37</v>
      </c>
      <c r="C11" s="14">
        <v>5</v>
      </c>
      <c r="D11" s="14">
        <v>8</v>
      </c>
      <c r="E11" s="15">
        <v>261294</v>
      </c>
      <c r="F11" s="15">
        <v>2809.85</v>
      </c>
      <c r="G11" s="15">
        <v>258484.15</v>
      </c>
      <c r="H11" s="15">
        <v>51697</v>
      </c>
      <c r="I11" s="30">
        <f t="shared" si="0"/>
        <v>-3.709408093189679E-2</v>
      </c>
      <c r="J11" s="31">
        <f>SUM($G$4:G11)</f>
        <v>1288402.7</v>
      </c>
    </row>
    <row r="12" spans="1:10" ht="18" customHeight="1" x14ac:dyDescent="0.25">
      <c r="A12" s="11" t="s">
        <v>180</v>
      </c>
      <c r="B12" s="11" t="s">
        <v>37</v>
      </c>
      <c r="C12" s="11">
        <v>4</v>
      </c>
      <c r="D12" s="11">
        <v>5</v>
      </c>
      <c r="E12" s="12">
        <v>167596</v>
      </c>
      <c r="F12" s="12">
        <v>0</v>
      </c>
      <c r="G12" s="12">
        <v>167596</v>
      </c>
      <c r="H12" s="12">
        <v>41899</v>
      </c>
      <c r="I12" s="32">
        <f t="shared" si="0"/>
        <v>-0.35161981885543075</v>
      </c>
      <c r="J12" s="29">
        <f>SUM($G$4:G12)</f>
        <v>1455998.7</v>
      </c>
    </row>
    <row r="13" spans="1:10" ht="18" customHeight="1" x14ac:dyDescent="0.25">
      <c r="A13" s="14" t="s">
        <v>184</v>
      </c>
      <c r="B13" s="14" t="s">
        <v>40</v>
      </c>
      <c r="C13" s="14">
        <v>8</v>
      </c>
      <c r="D13" s="14">
        <v>17</v>
      </c>
      <c r="E13" s="15">
        <v>459576</v>
      </c>
      <c r="F13" s="15">
        <v>37018.199999999997</v>
      </c>
      <c r="G13" s="15">
        <v>422557.8</v>
      </c>
      <c r="H13" s="15">
        <v>52820</v>
      </c>
      <c r="I13" s="30">
        <f t="shared" si="0"/>
        <v>1.521288097567961</v>
      </c>
      <c r="J13" s="31">
        <f>SUM($G$4:G13)</f>
        <v>1878556.5</v>
      </c>
    </row>
    <row r="14" spans="1:10" ht="18" customHeight="1" x14ac:dyDescent="0.25">
      <c r="A14" s="11" t="s">
        <v>10</v>
      </c>
      <c r="B14" s="11" t="s">
        <v>40</v>
      </c>
      <c r="C14" s="11">
        <v>12</v>
      </c>
      <c r="D14" s="11">
        <v>33</v>
      </c>
      <c r="E14" s="12">
        <v>739657</v>
      </c>
      <c r="F14" s="12">
        <v>102425.25</v>
      </c>
      <c r="G14" s="12">
        <v>637231.75</v>
      </c>
      <c r="H14" s="12">
        <v>53103</v>
      </c>
      <c r="I14" s="32">
        <f t="shared" si="0"/>
        <v>0.508034522141113</v>
      </c>
      <c r="J14" s="29">
        <f>SUM($G$4:G14)</f>
        <v>2515788.25</v>
      </c>
    </row>
    <row r="15" spans="1:10" ht="18" customHeight="1" x14ac:dyDescent="0.25">
      <c r="A15" s="14" t="s">
        <v>219</v>
      </c>
      <c r="B15" s="14" t="s">
        <v>40</v>
      </c>
      <c r="C15" s="14">
        <v>10</v>
      </c>
      <c r="D15" s="14">
        <v>16</v>
      </c>
      <c r="E15" s="15">
        <v>626887</v>
      </c>
      <c r="F15" s="15">
        <v>29749.55</v>
      </c>
      <c r="G15" s="15">
        <v>597137.44999999995</v>
      </c>
      <c r="H15" s="15">
        <v>59714</v>
      </c>
      <c r="I15" s="30">
        <f t="shared" si="0"/>
        <v>-6.2919495144427517E-2</v>
      </c>
      <c r="J15" s="31">
        <f>SUM($G$4:G15)</f>
        <v>3112925.7</v>
      </c>
    </row>
    <row r="16" spans="1:10" ht="21.75" customHeight="1" x14ac:dyDescent="0.25">
      <c r="A16" s="21" t="s">
        <v>259</v>
      </c>
      <c r="B16" s="21" t="s">
        <v>260</v>
      </c>
      <c r="C16" s="21">
        <f>SUM(C4:C15)</f>
        <v>71</v>
      </c>
      <c r="D16" s="21">
        <f>SUM(D4:D15)</f>
        <v>155</v>
      </c>
      <c r="E16" s="33">
        <f>SUM(E4:E15)</f>
        <v>3303858</v>
      </c>
      <c r="F16" s="33">
        <f>SUM(F4:F15)</f>
        <v>190932.3</v>
      </c>
      <c r="G16" s="33">
        <f>SUM(G4:G15)</f>
        <v>3112925.7</v>
      </c>
      <c r="H16" s="33">
        <f>AVERAGE(H4:H15)</f>
        <v>39551.583333333336</v>
      </c>
      <c r="I16" s="21" t="s">
        <v>261</v>
      </c>
    </row>
  </sheetData>
  <mergeCells count="1">
    <mergeCell ref="A1:I1"/>
  </mergeCells>
  <pageMargins left="0.75" right="0.75" top="1" bottom="1" header="0.511811023622047" footer="0.511811023622047"/>
  <pageSetup paperSize="9"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3"/>
  <sheetViews>
    <sheetView showGridLines="0" topLeftCell="G1" zoomScaleNormal="100" workbookViewId="0">
      <selection sqref="A1:H1"/>
    </sheetView>
  </sheetViews>
  <sheetFormatPr defaultColWidth="8.7109375" defaultRowHeight="15" x14ac:dyDescent="0.25"/>
  <cols>
    <col min="1" max="1" width="9" customWidth="1"/>
    <col min="2" max="2" width="32" customWidth="1"/>
    <col min="3" max="3" width="16" customWidth="1"/>
    <col min="4" max="4" width="14" customWidth="1"/>
    <col min="5" max="5" width="11" customWidth="1"/>
    <col min="6" max="8" width="16" customWidth="1"/>
  </cols>
  <sheetData>
    <row r="1" spans="1:8" ht="36" customHeight="1" x14ac:dyDescent="0.25">
      <c r="A1" s="70" t="s">
        <v>262</v>
      </c>
      <c r="B1" s="70"/>
      <c r="C1" s="70"/>
      <c r="D1" s="70"/>
      <c r="E1" s="70"/>
      <c r="F1" s="70"/>
      <c r="G1" s="70"/>
      <c r="H1" s="70"/>
    </row>
    <row r="2" spans="1:8" ht="21.75" customHeight="1" x14ac:dyDescent="0.25">
      <c r="A2" s="51" t="s">
        <v>263</v>
      </c>
      <c r="B2" s="51"/>
      <c r="C2" s="51"/>
      <c r="D2" s="51"/>
      <c r="E2" s="51"/>
      <c r="F2" s="51"/>
      <c r="G2" s="51"/>
      <c r="H2" s="51"/>
    </row>
    <row r="3" spans="1:8" ht="15" customHeight="1" x14ac:dyDescent="0.25">
      <c r="A3" s="1" t="s">
        <v>26</v>
      </c>
      <c r="B3" s="1" t="s">
        <v>22</v>
      </c>
      <c r="C3" s="1" t="s">
        <v>51</v>
      </c>
      <c r="D3" s="1" t="s">
        <v>54</v>
      </c>
      <c r="E3" s="1" t="s">
        <v>23</v>
      </c>
      <c r="F3" s="1" t="s">
        <v>264</v>
      </c>
      <c r="G3" s="1" t="s">
        <v>265</v>
      </c>
      <c r="H3" s="1" t="s">
        <v>254</v>
      </c>
    </row>
    <row r="4" spans="1:8" ht="15" customHeight="1" x14ac:dyDescent="0.25">
      <c r="A4" s="11" t="s">
        <v>32</v>
      </c>
      <c r="B4" s="11">
        <v>45</v>
      </c>
      <c r="C4" s="11">
        <v>59</v>
      </c>
      <c r="D4" s="12">
        <v>3144412</v>
      </c>
      <c r="E4" s="12">
        <v>2963067</v>
      </c>
      <c r="F4" s="13">
        <v>0.95185921077396696</v>
      </c>
      <c r="G4" s="12">
        <v>55635</v>
      </c>
      <c r="H4" s="12">
        <v>181345</v>
      </c>
    </row>
    <row r="5" spans="1:8" ht="15" customHeight="1" x14ac:dyDescent="0.25">
      <c r="A5" s="14" t="s">
        <v>68</v>
      </c>
      <c r="B5" s="14">
        <v>10</v>
      </c>
      <c r="C5" s="14">
        <v>25</v>
      </c>
      <c r="D5" s="15">
        <v>81559</v>
      </c>
      <c r="E5" s="15">
        <v>75476.800000000003</v>
      </c>
      <c r="F5" s="34">
        <v>2.4246258110175899E-2</v>
      </c>
      <c r="G5" s="15">
        <v>3806</v>
      </c>
      <c r="H5" s="15">
        <v>6082.2</v>
      </c>
    </row>
    <row r="6" spans="1:8" ht="15" customHeight="1" x14ac:dyDescent="0.25">
      <c r="A6" s="11" t="s">
        <v>110</v>
      </c>
      <c r="B6" s="11">
        <v>8</v>
      </c>
      <c r="C6" s="11">
        <v>16</v>
      </c>
      <c r="D6" s="12">
        <v>47684</v>
      </c>
      <c r="E6" s="12">
        <v>45239.75</v>
      </c>
      <c r="F6" s="13">
        <v>1.45328717611217E-2</v>
      </c>
      <c r="G6" s="12">
        <v>3707</v>
      </c>
      <c r="H6" s="12">
        <v>2444.25</v>
      </c>
    </row>
    <row r="7" spans="1:8" ht="15" customHeight="1" x14ac:dyDescent="0.25">
      <c r="A7" s="14" t="s">
        <v>72</v>
      </c>
      <c r="B7" s="14">
        <v>7</v>
      </c>
      <c r="C7" s="14">
        <v>24</v>
      </c>
      <c r="D7" s="15">
        <v>14426</v>
      </c>
      <c r="E7" s="15">
        <v>13974.3</v>
      </c>
      <c r="F7" s="34">
        <v>4.4891209578179101E-3</v>
      </c>
      <c r="G7" s="15">
        <v>604</v>
      </c>
      <c r="H7" s="15">
        <v>451.7</v>
      </c>
    </row>
    <row r="8" spans="1:8" ht="15" customHeight="1" x14ac:dyDescent="0.25">
      <c r="A8" s="11" t="s">
        <v>140</v>
      </c>
      <c r="B8" s="11">
        <v>5</v>
      </c>
      <c r="C8" s="11">
        <v>11</v>
      </c>
      <c r="D8" s="12">
        <v>8289</v>
      </c>
      <c r="E8" s="12">
        <v>8089.25</v>
      </c>
      <c r="F8" s="13">
        <v>2.59860040989735E-3</v>
      </c>
      <c r="G8" s="12">
        <v>806</v>
      </c>
      <c r="H8" s="12">
        <v>199.75</v>
      </c>
    </row>
    <row r="9" spans="1:8" ht="15" customHeight="1" x14ac:dyDescent="0.25">
      <c r="A9" s="14" t="s">
        <v>133</v>
      </c>
      <c r="B9" s="14">
        <v>7</v>
      </c>
      <c r="C9" s="14">
        <v>20</v>
      </c>
      <c r="D9" s="15">
        <v>7488</v>
      </c>
      <c r="E9" s="15">
        <v>7078.6</v>
      </c>
      <c r="F9" s="34">
        <v>2.27393798701974E-3</v>
      </c>
      <c r="G9" s="15">
        <v>424</v>
      </c>
      <c r="H9" s="15">
        <v>409.4</v>
      </c>
    </row>
    <row r="10" spans="1:8" ht="15" customHeight="1" x14ac:dyDescent="0.25">
      <c r="A10" s="21" t="s">
        <v>266</v>
      </c>
      <c r="B10" s="21">
        <f>SUM(B4:B9)</f>
        <v>82</v>
      </c>
      <c r="C10" s="21">
        <f>SUM(C4:C9)</f>
        <v>155</v>
      </c>
      <c r="D10" s="33">
        <f>SUM(D4:D9)</f>
        <v>3303858</v>
      </c>
      <c r="E10" s="33">
        <f>SUM(E4:E9)</f>
        <v>3112925.6999999997</v>
      </c>
      <c r="F10" s="21"/>
      <c r="G10" s="21"/>
      <c r="H10" s="33">
        <f>SUM(H4:H9)</f>
        <v>190932.30000000002</v>
      </c>
    </row>
    <row r="12" spans="1:8" ht="21.75" customHeight="1" x14ac:dyDescent="0.25">
      <c r="A12" s="52" t="s">
        <v>267</v>
      </c>
      <c r="B12" s="52"/>
      <c r="C12" s="52"/>
      <c r="D12" s="52"/>
      <c r="E12" s="52"/>
      <c r="F12" s="52"/>
      <c r="G12" s="52"/>
      <c r="H12" s="52"/>
    </row>
    <row r="13" spans="1:8" ht="15" customHeight="1" x14ac:dyDescent="0.25">
      <c r="A13" s="1" t="s">
        <v>268</v>
      </c>
      <c r="B13" s="1" t="s">
        <v>49</v>
      </c>
      <c r="C13" s="1" t="s">
        <v>26</v>
      </c>
      <c r="D13" s="1" t="s">
        <v>50</v>
      </c>
      <c r="E13" s="1" t="s">
        <v>51</v>
      </c>
      <c r="F13" s="1" t="s">
        <v>23</v>
      </c>
      <c r="G13" s="1" t="s">
        <v>265</v>
      </c>
    </row>
    <row r="14" spans="1:8" ht="15" customHeight="1" x14ac:dyDescent="0.25">
      <c r="A14" s="6">
        <v>1</v>
      </c>
      <c r="B14" s="6" t="s">
        <v>31</v>
      </c>
      <c r="C14" s="6" t="s">
        <v>32</v>
      </c>
      <c r="D14" s="6" t="s">
        <v>62</v>
      </c>
      <c r="E14" s="6">
        <v>15</v>
      </c>
      <c r="F14" s="7">
        <v>1107986.1499999999</v>
      </c>
      <c r="G14" s="7">
        <v>79999</v>
      </c>
    </row>
    <row r="15" spans="1:8" ht="15" customHeight="1" x14ac:dyDescent="0.25">
      <c r="A15" s="6">
        <v>2</v>
      </c>
      <c r="B15" s="6" t="s">
        <v>35</v>
      </c>
      <c r="C15" s="6" t="s">
        <v>32</v>
      </c>
      <c r="D15" s="6" t="s">
        <v>79</v>
      </c>
      <c r="E15" s="6">
        <v>16</v>
      </c>
      <c r="F15" s="7">
        <v>939300</v>
      </c>
      <c r="G15" s="7">
        <v>62000</v>
      </c>
    </row>
    <row r="16" spans="1:8" ht="15" customHeight="1" x14ac:dyDescent="0.25">
      <c r="A16" s="6">
        <v>3</v>
      </c>
      <c r="B16" s="6" t="s">
        <v>38</v>
      </c>
      <c r="C16" s="6" t="s">
        <v>32</v>
      </c>
      <c r="D16" s="6" t="s">
        <v>92</v>
      </c>
      <c r="E16" s="6">
        <v>12</v>
      </c>
      <c r="F16" s="7">
        <v>637988.4</v>
      </c>
      <c r="G16" s="7">
        <v>54999</v>
      </c>
    </row>
    <row r="17" spans="1:7" ht="15" customHeight="1" x14ac:dyDescent="0.25">
      <c r="A17" s="14">
        <v>4</v>
      </c>
      <c r="B17" s="14" t="s">
        <v>41</v>
      </c>
      <c r="C17" s="14" t="s">
        <v>32</v>
      </c>
      <c r="D17" s="14" t="s">
        <v>150</v>
      </c>
      <c r="E17" s="14">
        <v>6</v>
      </c>
      <c r="F17" s="15">
        <v>143744.25</v>
      </c>
      <c r="G17" s="15">
        <v>24999</v>
      </c>
    </row>
    <row r="18" spans="1:7" ht="15" customHeight="1" x14ac:dyDescent="0.25">
      <c r="A18" s="11">
        <v>5</v>
      </c>
      <c r="B18" s="11" t="s">
        <v>42</v>
      </c>
      <c r="C18" s="11" t="s">
        <v>32</v>
      </c>
      <c r="D18" s="11" t="s">
        <v>64</v>
      </c>
      <c r="E18" s="11">
        <v>5</v>
      </c>
      <c r="F18" s="12">
        <v>126853</v>
      </c>
      <c r="G18" s="12">
        <v>26990</v>
      </c>
    </row>
    <row r="19" spans="1:7" ht="15" customHeight="1" x14ac:dyDescent="0.25">
      <c r="A19" s="14">
        <v>6</v>
      </c>
      <c r="B19" s="14" t="s">
        <v>85</v>
      </c>
      <c r="C19" s="14" t="s">
        <v>68</v>
      </c>
      <c r="D19" s="14" t="s">
        <v>86</v>
      </c>
      <c r="E19" s="14">
        <v>4</v>
      </c>
      <c r="F19" s="15">
        <v>33281.5</v>
      </c>
      <c r="G19" s="15">
        <v>8995</v>
      </c>
    </row>
    <row r="20" spans="1:7" ht="15" customHeight="1" x14ac:dyDescent="0.25">
      <c r="A20" s="11">
        <v>7</v>
      </c>
      <c r="B20" s="11" t="s">
        <v>119</v>
      </c>
      <c r="C20" s="11" t="s">
        <v>110</v>
      </c>
      <c r="D20" s="11" t="s">
        <v>120</v>
      </c>
      <c r="E20" s="11">
        <v>4</v>
      </c>
      <c r="F20" s="12">
        <v>26246.25</v>
      </c>
      <c r="G20" s="12">
        <v>6999</v>
      </c>
    </row>
    <row r="21" spans="1:7" ht="15" customHeight="1" x14ac:dyDescent="0.25">
      <c r="A21" s="14">
        <v>8</v>
      </c>
      <c r="B21" s="14" t="s">
        <v>69</v>
      </c>
      <c r="C21" s="14" t="s">
        <v>68</v>
      </c>
      <c r="D21" s="14" t="s">
        <v>70</v>
      </c>
      <c r="E21" s="14">
        <v>6</v>
      </c>
      <c r="F21" s="15">
        <v>18894.599999999999</v>
      </c>
      <c r="G21" s="15">
        <v>3499</v>
      </c>
    </row>
    <row r="22" spans="1:7" ht="15" customHeight="1" x14ac:dyDescent="0.25">
      <c r="A22" s="11">
        <v>9</v>
      </c>
      <c r="B22" s="11" t="s">
        <v>96</v>
      </c>
      <c r="C22" s="11" t="s">
        <v>68</v>
      </c>
      <c r="D22" s="11" t="s">
        <v>97</v>
      </c>
      <c r="E22" s="11">
        <v>8</v>
      </c>
      <c r="F22" s="12">
        <v>10067.25</v>
      </c>
      <c r="G22" s="12">
        <v>1299</v>
      </c>
    </row>
    <row r="23" spans="1:7" ht="15" customHeight="1" x14ac:dyDescent="0.25">
      <c r="A23" s="14">
        <v>10</v>
      </c>
      <c r="B23" s="14" t="s">
        <v>131</v>
      </c>
      <c r="C23" s="14" t="s">
        <v>110</v>
      </c>
      <c r="D23" s="14" t="s">
        <v>132</v>
      </c>
      <c r="E23" s="14">
        <v>3</v>
      </c>
      <c r="F23" s="15">
        <v>7247.1</v>
      </c>
      <c r="G23" s="15">
        <v>2499</v>
      </c>
    </row>
  </sheetData>
  <mergeCells count="3">
    <mergeCell ref="A1:H1"/>
    <mergeCell ref="A2:H2"/>
    <mergeCell ref="A12:H12"/>
  </mergeCells>
  <pageMargins left="0.75" right="0.75" top="1" bottom="1" header="0.511811023622047" footer="0.511811023622047"/>
  <pageSetup paperSize="9" orientation="portrait" horizontalDpi="300"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1F2E8-D835-413A-B3D6-9743CD9B1653}">
  <dimension ref="A3:C6"/>
  <sheetViews>
    <sheetView showGridLines="0" zoomScaleNormal="100" workbookViewId="0">
      <selection activeCell="R17" sqref="R17"/>
    </sheetView>
  </sheetViews>
  <sheetFormatPr defaultRowHeight="15" x14ac:dyDescent="0.25"/>
  <cols>
    <col min="1" max="1" width="13.140625" bestFit="1" customWidth="1"/>
    <col min="2" max="2" width="22.5703125" bestFit="1" customWidth="1"/>
    <col min="3" max="3" width="16.5703125" bestFit="1" customWidth="1"/>
  </cols>
  <sheetData>
    <row r="3" spans="1:3" x14ac:dyDescent="0.25">
      <c r="A3" s="47" t="s">
        <v>279</v>
      </c>
      <c r="B3" t="s">
        <v>281</v>
      </c>
      <c r="C3" t="s">
        <v>282</v>
      </c>
    </row>
    <row r="4" spans="1:3" x14ac:dyDescent="0.25">
      <c r="A4" s="48" t="s">
        <v>58</v>
      </c>
      <c r="B4" s="50">
        <v>55994.600000000006</v>
      </c>
      <c r="C4">
        <v>3</v>
      </c>
    </row>
    <row r="5" spans="1:3" x14ac:dyDescent="0.25">
      <c r="A5" s="48" t="s">
        <v>129</v>
      </c>
      <c r="B5" s="50">
        <v>55800</v>
      </c>
      <c r="C5">
        <v>1</v>
      </c>
    </row>
    <row r="6" spans="1:3" x14ac:dyDescent="0.25">
      <c r="A6" s="48" t="s">
        <v>280</v>
      </c>
      <c r="B6" s="50">
        <v>111794.6</v>
      </c>
      <c r="C6">
        <v>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70C035-25E5-4180-8876-EC5C84DDB837}">
  <dimension ref="A3:E8"/>
  <sheetViews>
    <sheetView workbookViewId="0">
      <selection activeCell="A5" sqref="A5"/>
    </sheetView>
  </sheetViews>
  <sheetFormatPr defaultRowHeight="15" x14ac:dyDescent="0.25"/>
  <cols>
    <col min="1" max="1" width="13.140625" bestFit="1" customWidth="1"/>
    <col min="2" max="2" width="22.5703125" bestFit="1" customWidth="1"/>
    <col min="3" max="3" width="16.7109375" bestFit="1" customWidth="1"/>
    <col min="4" max="4" width="27.5703125" bestFit="1" customWidth="1"/>
    <col min="5" max="5" width="21.85546875" bestFit="1" customWidth="1"/>
    <col min="6" max="6" width="27.5703125" bestFit="1" customWidth="1"/>
    <col min="7" max="7" width="21.85546875" bestFit="1" customWidth="1"/>
    <col min="8" max="8" width="22.5703125" bestFit="1" customWidth="1"/>
    <col min="9" max="9" width="16.7109375" bestFit="1" customWidth="1"/>
    <col min="10" max="10" width="27.5703125" bestFit="1" customWidth="1"/>
    <col min="11" max="11" width="21.85546875" bestFit="1" customWidth="1"/>
  </cols>
  <sheetData>
    <row r="3" spans="1:5" x14ac:dyDescent="0.25">
      <c r="B3" s="47" t="s">
        <v>283</v>
      </c>
    </row>
    <row r="4" spans="1:5" x14ac:dyDescent="0.25">
      <c r="B4" t="s">
        <v>30</v>
      </c>
      <c r="D4" t="s">
        <v>284</v>
      </c>
      <c r="E4" t="s">
        <v>285</v>
      </c>
    </row>
    <row r="5" spans="1:5" x14ac:dyDescent="0.25">
      <c r="A5" s="47" t="s">
        <v>279</v>
      </c>
      <c r="B5" t="s">
        <v>281</v>
      </c>
      <c r="C5" t="s">
        <v>286</v>
      </c>
    </row>
    <row r="6" spans="1:5" x14ac:dyDescent="0.25">
      <c r="A6" s="48" t="s">
        <v>72</v>
      </c>
      <c r="B6" s="49">
        <v>995.59999999999991</v>
      </c>
      <c r="C6">
        <v>2</v>
      </c>
      <c r="D6" s="49">
        <v>995.59999999999991</v>
      </c>
      <c r="E6">
        <v>2</v>
      </c>
    </row>
    <row r="7" spans="1:5" x14ac:dyDescent="0.25">
      <c r="A7" s="48" t="s">
        <v>32</v>
      </c>
      <c r="B7" s="49">
        <v>110799</v>
      </c>
      <c r="C7">
        <v>2</v>
      </c>
      <c r="D7" s="49">
        <v>110799</v>
      </c>
      <c r="E7">
        <v>2</v>
      </c>
    </row>
    <row r="8" spans="1:5" x14ac:dyDescent="0.25">
      <c r="A8" s="48" t="s">
        <v>280</v>
      </c>
      <c r="B8" s="49">
        <v>111794.6</v>
      </c>
      <c r="C8">
        <v>4</v>
      </c>
      <c r="D8" s="49">
        <v>111794.6</v>
      </c>
      <c r="E8">
        <v>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A6D6D-B93B-4F5D-A845-379524DFC08A}">
  <dimension ref="A3:C7"/>
  <sheetViews>
    <sheetView showGridLines="0" topLeftCell="G1" workbookViewId="0">
      <selection activeCell="G29" sqref="G29"/>
    </sheetView>
  </sheetViews>
  <sheetFormatPr defaultRowHeight="15" x14ac:dyDescent="0.25"/>
  <cols>
    <col min="1" max="1" width="22.5703125" bestFit="1" customWidth="1"/>
    <col min="2" max="2" width="16.28515625" bestFit="1" customWidth="1"/>
    <col min="3" max="4" width="11.28515625" bestFit="1" customWidth="1"/>
    <col min="5" max="5" width="9.140625" bestFit="1" customWidth="1"/>
    <col min="6" max="6" width="11.28515625" bestFit="1" customWidth="1"/>
  </cols>
  <sheetData>
    <row r="3" spans="1:3" x14ac:dyDescent="0.25">
      <c r="A3" s="47" t="s">
        <v>281</v>
      </c>
      <c r="B3" s="47" t="s">
        <v>283</v>
      </c>
    </row>
    <row r="4" spans="1:3" x14ac:dyDescent="0.25">
      <c r="A4" s="47" t="s">
        <v>279</v>
      </c>
      <c r="B4" t="s">
        <v>30</v>
      </c>
      <c r="C4" t="s">
        <v>280</v>
      </c>
    </row>
    <row r="5" spans="1:3" x14ac:dyDescent="0.25">
      <c r="A5" s="48" t="s">
        <v>36</v>
      </c>
      <c r="B5" s="49">
        <v>111415.55</v>
      </c>
      <c r="C5" s="49">
        <v>111415.55</v>
      </c>
    </row>
    <row r="6" spans="1:3" x14ac:dyDescent="0.25">
      <c r="A6" s="48" t="s">
        <v>39</v>
      </c>
      <c r="B6" s="49">
        <v>379.05</v>
      </c>
      <c r="C6" s="49">
        <v>379.05</v>
      </c>
    </row>
    <row r="7" spans="1:3" x14ac:dyDescent="0.25">
      <c r="A7" s="48" t="s">
        <v>280</v>
      </c>
      <c r="B7" s="49">
        <v>111794.6</v>
      </c>
      <c r="C7" s="49">
        <v>111794.6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92B7E-1E5C-4CCE-91E2-11B1F5E9F046}">
  <dimension ref="A3:G10"/>
  <sheetViews>
    <sheetView showGridLines="0" topLeftCell="P1" zoomScale="85" zoomScaleNormal="85" workbookViewId="0">
      <selection activeCell="G12" sqref="G12"/>
    </sheetView>
  </sheetViews>
  <sheetFormatPr defaultRowHeight="15" x14ac:dyDescent="0.25"/>
  <cols>
    <col min="1" max="1" width="23" bestFit="1" customWidth="1"/>
    <col min="2" max="2" width="22.5703125" bestFit="1" customWidth="1"/>
    <col min="3" max="3" width="16.7109375" bestFit="1" customWidth="1"/>
    <col min="4" max="4" width="22.5703125" bestFit="1" customWidth="1"/>
    <col min="5" max="5" width="16.7109375" bestFit="1" customWidth="1"/>
    <col min="6" max="6" width="27.5703125" bestFit="1" customWidth="1"/>
    <col min="7" max="7" width="21.85546875" bestFit="1" customWidth="1"/>
    <col min="8" max="8" width="21.28515625" bestFit="1" customWidth="1"/>
    <col min="9" max="9" width="16" bestFit="1" customWidth="1"/>
    <col min="10" max="10" width="21.28515625" bestFit="1" customWidth="1"/>
    <col min="11" max="11" width="16" bestFit="1" customWidth="1"/>
    <col min="12" max="12" width="21.28515625" bestFit="1" customWidth="1"/>
    <col min="13" max="13" width="16" bestFit="1" customWidth="1"/>
    <col min="14" max="14" width="26.140625" bestFit="1" customWidth="1"/>
    <col min="15" max="15" width="20.7109375" bestFit="1" customWidth="1"/>
  </cols>
  <sheetData>
    <row r="3" spans="1:7" x14ac:dyDescent="0.25">
      <c r="B3" s="47" t="s">
        <v>283</v>
      </c>
    </row>
    <row r="4" spans="1:7" x14ac:dyDescent="0.25">
      <c r="B4" t="s">
        <v>72</v>
      </c>
      <c r="D4" t="s">
        <v>32</v>
      </c>
      <c r="F4" t="s">
        <v>284</v>
      </c>
      <c r="G4" t="s">
        <v>285</v>
      </c>
    </row>
    <row r="5" spans="1:7" x14ac:dyDescent="0.25">
      <c r="A5" s="47" t="s">
        <v>279</v>
      </c>
      <c r="B5" t="s">
        <v>281</v>
      </c>
      <c r="C5" t="s">
        <v>286</v>
      </c>
      <c r="D5" t="s">
        <v>281</v>
      </c>
      <c r="E5" t="s">
        <v>286</v>
      </c>
    </row>
    <row r="6" spans="1:7" x14ac:dyDescent="0.25">
      <c r="A6" s="48" t="s">
        <v>73</v>
      </c>
      <c r="B6" s="49">
        <v>379.05</v>
      </c>
      <c r="C6">
        <v>1</v>
      </c>
      <c r="D6" s="49"/>
      <c r="F6" s="49">
        <v>379.05</v>
      </c>
      <c r="G6">
        <v>1</v>
      </c>
    </row>
    <row r="7" spans="1:7" x14ac:dyDescent="0.25">
      <c r="A7" s="48" t="s">
        <v>35</v>
      </c>
      <c r="B7" s="49"/>
      <c r="D7" s="49">
        <v>55800</v>
      </c>
      <c r="E7">
        <v>1</v>
      </c>
      <c r="F7" s="49">
        <v>55800</v>
      </c>
      <c r="G7">
        <v>1</v>
      </c>
    </row>
    <row r="8" spans="1:7" x14ac:dyDescent="0.25">
      <c r="A8" s="48" t="s">
        <v>38</v>
      </c>
      <c r="B8" s="49"/>
      <c r="D8" s="49">
        <v>54999</v>
      </c>
      <c r="E8">
        <v>1</v>
      </c>
      <c r="F8" s="49">
        <v>54999</v>
      </c>
      <c r="G8">
        <v>1</v>
      </c>
    </row>
    <row r="9" spans="1:7" x14ac:dyDescent="0.25">
      <c r="A9" s="48" t="s">
        <v>103</v>
      </c>
      <c r="B9" s="49">
        <v>616.54999999999995</v>
      </c>
      <c r="C9">
        <v>1</v>
      </c>
      <c r="D9" s="49"/>
      <c r="F9" s="49">
        <v>616.54999999999995</v>
      </c>
      <c r="G9">
        <v>1</v>
      </c>
    </row>
    <row r="10" spans="1:7" x14ac:dyDescent="0.25">
      <c r="A10" s="48" t="s">
        <v>280</v>
      </c>
      <c r="B10" s="49">
        <v>995.59999999999991</v>
      </c>
      <c r="C10">
        <v>2</v>
      </c>
      <c r="D10" s="49">
        <v>110799</v>
      </c>
      <c r="E10">
        <v>2</v>
      </c>
      <c r="F10" s="49">
        <v>111794.6</v>
      </c>
      <c r="G10">
        <v>4</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86C60B-778D-4596-896F-2D84D9E97EF8}">
  <dimension ref="A3:G8"/>
  <sheetViews>
    <sheetView showGridLines="0" zoomScale="88" workbookViewId="0">
      <selection activeCell="M38" sqref="M38"/>
    </sheetView>
  </sheetViews>
  <sheetFormatPr defaultRowHeight="15" x14ac:dyDescent="0.25"/>
  <cols>
    <col min="1" max="1" width="13.5703125" bestFit="1" customWidth="1"/>
    <col min="2" max="2" width="22.7109375" bestFit="1" customWidth="1"/>
    <col min="3" max="3" width="17" bestFit="1" customWidth="1"/>
    <col min="4" max="4" width="22.7109375" bestFit="1" customWidth="1"/>
    <col min="5" max="5" width="17" bestFit="1" customWidth="1"/>
    <col min="6" max="6" width="27.7109375" bestFit="1" customWidth="1"/>
    <col min="7" max="7" width="22" bestFit="1" customWidth="1"/>
    <col min="8" max="8" width="27.7109375" bestFit="1" customWidth="1"/>
    <col min="9" max="9" width="22" bestFit="1" customWidth="1"/>
    <col min="10" max="10" width="22.7109375" bestFit="1" customWidth="1"/>
    <col min="11" max="11" width="17" bestFit="1" customWidth="1"/>
    <col min="12" max="12" width="27.7109375" bestFit="1" customWidth="1"/>
    <col min="13" max="13" width="22" bestFit="1" customWidth="1"/>
    <col min="14" max="14" width="22.5703125" bestFit="1" customWidth="1"/>
    <col min="15" max="15" width="16.85546875" bestFit="1" customWidth="1"/>
    <col min="16" max="16" width="22.5703125" bestFit="1" customWidth="1"/>
    <col min="17" max="17" width="16.85546875" bestFit="1" customWidth="1"/>
    <col min="18" max="18" width="22.5703125" bestFit="1" customWidth="1"/>
    <col min="19" max="19" width="16.85546875" bestFit="1" customWidth="1"/>
    <col min="20" max="20" width="22.5703125" bestFit="1" customWidth="1"/>
    <col min="21" max="21" width="16.85546875" bestFit="1" customWidth="1"/>
    <col min="22" max="22" width="22.5703125" bestFit="1" customWidth="1"/>
    <col min="23" max="23" width="16.85546875" bestFit="1" customWidth="1"/>
    <col min="24" max="24" width="27.5703125" bestFit="1" customWidth="1"/>
    <col min="25" max="25" width="21.85546875" bestFit="1" customWidth="1"/>
    <col min="26" max="26" width="26.7109375" bestFit="1" customWidth="1"/>
    <col min="27" max="27" width="21.140625" bestFit="1" customWidth="1"/>
  </cols>
  <sheetData>
    <row r="3" spans="1:7" x14ac:dyDescent="0.25">
      <c r="B3" s="47" t="s">
        <v>283</v>
      </c>
    </row>
    <row r="4" spans="1:7" x14ac:dyDescent="0.25">
      <c r="B4" t="s">
        <v>58</v>
      </c>
      <c r="D4" t="s">
        <v>129</v>
      </c>
      <c r="F4" t="s">
        <v>284</v>
      </c>
      <c r="G4" t="s">
        <v>287</v>
      </c>
    </row>
    <row r="5" spans="1:7" x14ac:dyDescent="0.25">
      <c r="A5" s="47" t="s">
        <v>279</v>
      </c>
      <c r="B5" t="s">
        <v>281</v>
      </c>
      <c r="C5" t="s">
        <v>282</v>
      </c>
      <c r="D5" t="s">
        <v>281</v>
      </c>
      <c r="E5" t="s">
        <v>282</v>
      </c>
    </row>
    <row r="6" spans="1:7" x14ac:dyDescent="0.25">
      <c r="A6" s="48" t="s">
        <v>63</v>
      </c>
      <c r="B6" s="49"/>
      <c r="D6" s="49">
        <v>55800</v>
      </c>
      <c r="E6">
        <v>1</v>
      </c>
      <c r="F6" s="49">
        <v>55800</v>
      </c>
      <c r="G6">
        <v>1</v>
      </c>
    </row>
    <row r="7" spans="1:7" x14ac:dyDescent="0.25">
      <c r="A7" s="48" t="s">
        <v>71</v>
      </c>
      <c r="B7" s="49">
        <v>55994.600000000006</v>
      </c>
      <c r="C7">
        <v>3</v>
      </c>
      <c r="D7" s="49"/>
      <c r="F7" s="49">
        <v>55994.600000000006</v>
      </c>
      <c r="G7">
        <v>3</v>
      </c>
    </row>
    <row r="8" spans="1:7" x14ac:dyDescent="0.25">
      <c r="A8" s="48" t="s">
        <v>280</v>
      </c>
      <c r="B8" s="49">
        <v>55994.600000000006</v>
      </c>
      <c r="C8">
        <v>3</v>
      </c>
      <c r="D8" s="49">
        <v>55800</v>
      </c>
      <c r="E8">
        <v>1</v>
      </c>
      <c r="F8" s="49">
        <v>111794.6</v>
      </c>
      <c r="G8">
        <v>4</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7"/>
  <sheetViews>
    <sheetView showGridLines="0" tabSelected="1" zoomScaleNormal="100" workbookViewId="0">
      <selection activeCell="V18" sqref="V18"/>
    </sheetView>
  </sheetViews>
  <sheetFormatPr defaultColWidth="8.7109375" defaultRowHeight="15" x14ac:dyDescent="0.25"/>
  <cols>
    <col min="1" max="1" width="8" customWidth="1"/>
    <col min="2" max="2" width="24" customWidth="1"/>
    <col min="3" max="3" width="10" customWidth="1"/>
    <col min="4" max="4" width="16" customWidth="1"/>
    <col min="5" max="6" width="13" customWidth="1"/>
    <col min="7" max="7" width="20" customWidth="1"/>
  </cols>
  <sheetData>
    <row r="1" spans="1:7" ht="36" customHeight="1" x14ac:dyDescent="0.25">
      <c r="A1" s="70" t="s">
        <v>269</v>
      </c>
      <c r="B1" s="70"/>
      <c r="C1" s="70"/>
      <c r="D1" s="70"/>
      <c r="E1" s="70"/>
      <c r="F1" s="70"/>
      <c r="G1" s="70"/>
    </row>
    <row r="2" spans="1:7" ht="21.75" customHeight="1" x14ac:dyDescent="0.25">
      <c r="A2" s="51" t="s">
        <v>270</v>
      </c>
      <c r="B2" s="51"/>
      <c r="C2" s="51"/>
      <c r="D2" s="51"/>
      <c r="E2" s="51"/>
      <c r="F2" s="51"/>
      <c r="G2" s="51"/>
    </row>
    <row r="3" spans="1:7" ht="15" customHeight="1" x14ac:dyDescent="0.25">
      <c r="A3" s="1" t="s">
        <v>28</v>
      </c>
      <c r="B3" s="1" t="s">
        <v>271</v>
      </c>
      <c r="C3" s="1" t="s">
        <v>22</v>
      </c>
      <c r="D3" s="1" t="s">
        <v>23</v>
      </c>
      <c r="E3" s="1" t="s">
        <v>24</v>
      </c>
      <c r="F3" s="1" t="s">
        <v>272</v>
      </c>
      <c r="G3" s="1" t="s">
        <v>264</v>
      </c>
    </row>
    <row r="4" spans="1:7" ht="15" customHeight="1" x14ac:dyDescent="0.25">
      <c r="A4" s="6" t="s">
        <v>33</v>
      </c>
      <c r="B4" s="6">
        <v>8</v>
      </c>
      <c r="C4" s="6">
        <v>34</v>
      </c>
      <c r="D4" s="7">
        <v>2125083.7000000002</v>
      </c>
      <c r="E4" s="7">
        <v>62502</v>
      </c>
      <c r="F4" s="7">
        <v>265635</v>
      </c>
      <c r="G4" s="8">
        <v>0.68266444650445701</v>
      </c>
    </row>
    <row r="5" spans="1:7" ht="15" customHeight="1" x14ac:dyDescent="0.25">
      <c r="A5" s="11" t="s">
        <v>36</v>
      </c>
      <c r="B5" s="11">
        <v>9</v>
      </c>
      <c r="C5" s="11">
        <v>26</v>
      </c>
      <c r="D5" s="12">
        <v>855708.05</v>
      </c>
      <c r="E5" s="12">
        <v>32912</v>
      </c>
      <c r="F5" s="12">
        <v>95079</v>
      </c>
      <c r="G5" s="13">
        <v>0.27488868430107399</v>
      </c>
    </row>
    <row r="6" spans="1:7" ht="15" customHeight="1" x14ac:dyDescent="0.25">
      <c r="A6" s="16" t="s">
        <v>39</v>
      </c>
      <c r="B6" s="16">
        <v>7</v>
      </c>
      <c r="C6" s="16">
        <v>11</v>
      </c>
      <c r="D6" s="17">
        <v>132133.95000000001</v>
      </c>
      <c r="E6" s="17">
        <v>12012</v>
      </c>
      <c r="F6" s="17">
        <v>18876</v>
      </c>
      <c r="G6" s="18">
        <v>4.2446869194468703E-2</v>
      </c>
    </row>
    <row r="8" spans="1:7" ht="21.75" customHeight="1" x14ac:dyDescent="0.25">
      <c r="A8" s="52" t="s">
        <v>273</v>
      </c>
      <c r="B8" s="52"/>
      <c r="C8" s="52"/>
      <c r="D8" s="52"/>
      <c r="E8" s="52"/>
      <c r="F8" s="52"/>
      <c r="G8" s="52"/>
    </row>
    <row r="9" spans="1:7" ht="15" customHeight="1" x14ac:dyDescent="0.25">
      <c r="A9" s="1" t="s">
        <v>268</v>
      </c>
      <c r="B9" s="1" t="s">
        <v>46</v>
      </c>
      <c r="C9" s="1" t="s">
        <v>28</v>
      </c>
      <c r="D9" s="1" t="s">
        <v>47</v>
      </c>
      <c r="E9" s="1" t="s">
        <v>274</v>
      </c>
      <c r="F9" s="1" t="s">
        <v>275</v>
      </c>
      <c r="G9" s="1" t="s">
        <v>276</v>
      </c>
    </row>
    <row r="10" spans="1:7" ht="15" customHeight="1" x14ac:dyDescent="0.25">
      <c r="A10" s="6">
        <v>1</v>
      </c>
      <c r="B10" s="6" t="s">
        <v>59</v>
      </c>
      <c r="C10" s="6" t="s">
        <v>33</v>
      </c>
      <c r="D10" s="6" t="s">
        <v>60</v>
      </c>
      <c r="E10" s="6">
        <v>8</v>
      </c>
      <c r="F10" s="6">
        <v>16</v>
      </c>
      <c r="G10" s="7">
        <v>758881.15</v>
      </c>
    </row>
    <row r="11" spans="1:7" ht="15" customHeight="1" x14ac:dyDescent="0.25">
      <c r="A11" s="6">
        <v>2</v>
      </c>
      <c r="B11" s="6" t="s">
        <v>76</v>
      </c>
      <c r="C11" s="6" t="s">
        <v>33</v>
      </c>
      <c r="D11" s="6" t="s">
        <v>77</v>
      </c>
      <c r="E11" s="6">
        <v>6</v>
      </c>
      <c r="F11" s="6">
        <v>7</v>
      </c>
      <c r="G11" s="7">
        <v>370947.05</v>
      </c>
    </row>
    <row r="12" spans="1:7" ht="15" customHeight="1" x14ac:dyDescent="0.25">
      <c r="A12" s="6">
        <v>3</v>
      </c>
      <c r="B12" s="6" t="s">
        <v>167</v>
      </c>
      <c r="C12" s="6" t="s">
        <v>33</v>
      </c>
      <c r="D12" s="6" t="s">
        <v>168</v>
      </c>
      <c r="E12" s="6">
        <v>5</v>
      </c>
      <c r="F12" s="6">
        <v>14</v>
      </c>
      <c r="G12" s="7">
        <v>320476.90000000002</v>
      </c>
    </row>
    <row r="13" spans="1:7" ht="15" customHeight="1" x14ac:dyDescent="0.25">
      <c r="A13" s="14">
        <v>4</v>
      </c>
      <c r="B13" s="14" t="s">
        <v>94</v>
      </c>
      <c r="C13" s="14" t="s">
        <v>36</v>
      </c>
      <c r="D13" s="14" t="s">
        <v>95</v>
      </c>
      <c r="E13" s="14">
        <v>6</v>
      </c>
      <c r="F13" s="14">
        <v>11</v>
      </c>
      <c r="G13" s="15">
        <v>240197</v>
      </c>
    </row>
    <row r="14" spans="1:7" ht="15" customHeight="1" x14ac:dyDescent="0.25">
      <c r="A14" s="11">
        <v>5</v>
      </c>
      <c r="B14" s="11" t="s">
        <v>89</v>
      </c>
      <c r="C14" s="11" t="s">
        <v>36</v>
      </c>
      <c r="D14" s="11" t="s">
        <v>90</v>
      </c>
      <c r="E14" s="11">
        <v>4</v>
      </c>
      <c r="F14" s="11">
        <v>8</v>
      </c>
      <c r="G14" s="12">
        <v>239184.65</v>
      </c>
    </row>
    <row r="15" spans="1:7" ht="15" customHeight="1" x14ac:dyDescent="0.25">
      <c r="A15" s="14">
        <v>6</v>
      </c>
      <c r="B15" s="14" t="s">
        <v>123</v>
      </c>
      <c r="C15" s="14" t="s">
        <v>33</v>
      </c>
      <c r="D15" s="14" t="s">
        <v>124</v>
      </c>
      <c r="E15" s="14">
        <v>6</v>
      </c>
      <c r="F15" s="14">
        <v>18</v>
      </c>
      <c r="G15" s="15">
        <v>224134.05</v>
      </c>
    </row>
    <row r="16" spans="1:7" ht="15" customHeight="1" x14ac:dyDescent="0.25">
      <c r="A16" s="11">
        <v>7</v>
      </c>
      <c r="B16" s="11" t="s">
        <v>241</v>
      </c>
      <c r="C16" s="11" t="s">
        <v>33</v>
      </c>
      <c r="D16" s="11" t="s">
        <v>108</v>
      </c>
      <c r="E16" s="11">
        <v>2</v>
      </c>
      <c r="F16" s="11">
        <v>3</v>
      </c>
      <c r="G16" s="12">
        <v>203999</v>
      </c>
    </row>
    <row r="17" spans="1:7" ht="15" customHeight="1" x14ac:dyDescent="0.25">
      <c r="A17" s="14">
        <v>8</v>
      </c>
      <c r="B17" s="14" t="s">
        <v>107</v>
      </c>
      <c r="C17" s="14" t="s">
        <v>36</v>
      </c>
      <c r="D17" s="14" t="s">
        <v>108</v>
      </c>
      <c r="E17" s="14">
        <v>4</v>
      </c>
      <c r="F17" s="14">
        <v>10</v>
      </c>
      <c r="G17" s="15">
        <v>177049.55</v>
      </c>
    </row>
    <row r="18" spans="1:7" ht="15" customHeight="1" x14ac:dyDescent="0.25">
      <c r="A18" s="11">
        <v>9</v>
      </c>
      <c r="B18" s="11" t="s">
        <v>82</v>
      </c>
      <c r="C18" s="11" t="s">
        <v>33</v>
      </c>
      <c r="D18" s="11" t="s">
        <v>83</v>
      </c>
      <c r="E18" s="11">
        <v>4</v>
      </c>
      <c r="F18" s="11">
        <v>6</v>
      </c>
      <c r="G18" s="12">
        <v>118030.15</v>
      </c>
    </row>
    <row r="19" spans="1:7" ht="15" customHeight="1" x14ac:dyDescent="0.25">
      <c r="A19" s="14">
        <v>10</v>
      </c>
      <c r="B19" s="14" t="s">
        <v>100</v>
      </c>
      <c r="C19" s="14" t="s">
        <v>36</v>
      </c>
      <c r="D19" s="14" t="s">
        <v>101</v>
      </c>
      <c r="E19" s="14">
        <v>5</v>
      </c>
      <c r="F19" s="14">
        <v>17</v>
      </c>
      <c r="G19" s="15">
        <v>77496.899999999994</v>
      </c>
    </row>
    <row r="21" spans="1:7" ht="21.75" customHeight="1" x14ac:dyDescent="0.25">
      <c r="A21" s="53" t="s">
        <v>277</v>
      </c>
      <c r="B21" s="53"/>
      <c r="C21" s="53"/>
      <c r="D21" s="53"/>
      <c r="E21" s="53"/>
      <c r="F21" s="53"/>
      <c r="G21" s="53"/>
    </row>
    <row r="22" spans="1:7" ht="15" customHeight="1" x14ac:dyDescent="0.25">
      <c r="A22" s="1" t="s">
        <v>55</v>
      </c>
      <c r="B22" s="1" t="s">
        <v>278</v>
      </c>
      <c r="C22" s="1" t="s">
        <v>23</v>
      </c>
      <c r="D22" s="1" t="s">
        <v>264</v>
      </c>
    </row>
    <row r="23" spans="1:7" ht="15" customHeight="1" x14ac:dyDescent="0.25">
      <c r="A23" s="14" t="s">
        <v>288</v>
      </c>
      <c r="B23" s="14">
        <v>45</v>
      </c>
      <c r="C23" s="15">
        <v>2013576.1</v>
      </c>
      <c r="D23" s="34">
        <v>0.64684361081923702</v>
      </c>
    </row>
    <row r="24" spans="1:7" ht="15" customHeight="1" x14ac:dyDescent="0.25">
      <c r="A24" s="11" t="s">
        <v>80</v>
      </c>
      <c r="B24" s="11">
        <v>12</v>
      </c>
      <c r="C24" s="12">
        <v>458102.2</v>
      </c>
      <c r="D24" s="13">
        <v>0.14716130230798599</v>
      </c>
    </row>
    <row r="25" spans="1:7" ht="15" customHeight="1" x14ac:dyDescent="0.25">
      <c r="A25" s="14" t="s">
        <v>71</v>
      </c>
      <c r="B25" s="14">
        <v>28</v>
      </c>
      <c r="C25" s="15">
        <v>368722.05</v>
      </c>
      <c r="D25" s="34">
        <v>0.11844871530341999</v>
      </c>
    </row>
    <row r="26" spans="1:7" ht="15" customHeight="1" x14ac:dyDescent="0.25">
      <c r="A26" s="11" t="s">
        <v>98</v>
      </c>
      <c r="B26" s="11">
        <v>13</v>
      </c>
      <c r="C26" s="12">
        <v>151849</v>
      </c>
      <c r="D26" s="13">
        <v>4.87801555944622E-2</v>
      </c>
    </row>
    <row r="27" spans="1:7" ht="15" customHeight="1" x14ac:dyDescent="0.25">
      <c r="A27" s="14" t="s">
        <v>121</v>
      </c>
      <c r="B27" s="14">
        <v>8</v>
      </c>
      <c r="C27" s="15">
        <v>120676.35</v>
      </c>
      <c r="D27" s="34">
        <v>3.8766215974894602E-2</v>
      </c>
    </row>
  </sheetData>
  <mergeCells count="4">
    <mergeCell ref="A1:G1"/>
    <mergeCell ref="A2:G2"/>
    <mergeCell ref="A8:G8"/>
    <mergeCell ref="A21:G21"/>
  </mergeCells>
  <pageMargins left="0.75" right="0.75" top="1" bottom="1" header="0.511811023622047" footer="0.511811023622047"/>
  <pageSetup paperSize="9" orientation="portrait" horizontalDpi="300" verticalDpi="30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11"/>
  <sheetViews>
    <sheetView showGridLines="0" topLeftCell="D1" zoomScaleNormal="100" workbookViewId="0">
      <pane ySplit="1" topLeftCell="A90" activePane="bottomLeft" state="frozen"/>
      <selection pane="bottomLeft" activeCell="P112" sqref="P112"/>
    </sheetView>
  </sheetViews>
  <sheetFormatPr defaultColWidth="8.7109375" defaultRowHeight="15" x14ac:dyDescent="0.25"/>
  <cols>
    <col min="1" max="1" width="10.28515625" customWidth="1"/>
    <col min="2" max="2" width="13" customWidth="1"/>
    <col min="3" max="3" width="9" customWidth="1"/>
    <col min="4" max="4" width="9.5703125" customWidth="1"/>
    <col min="5" max="5" width="22" customWidth="1"/>
    <col min="6" max="6" width="10.85546875" customWidth="1"/>
    <col min="7" max="7" width="14" customWidth="1"/>
    <col min="8" max="8" width="17" customWidth="1"/>
    <col min="9" max="9" width="15" customWidth="1"/>
    <col min="10" max="10" width="30" customWidth="1"/>
    <col min="11" max="11" width="14" customWidth="1"/>
    <col min="12" max="12" width="11.7109375" customWidth="1"/>
    <col min="13" max="13" width="14.28515625" customWidth="1"/>
    <col min="14" max="14" width="12.28515625" customWidth="1"/>
    <col min="15" max="15" width="18.7109375" customWidth="1"/>
    <col min="16" max="16" width="16.7109375" customWidth="1"/>
    <col min="17" max="17" width="17.7109375" customWidth="1"/>
    <col min="18" max="18" width="13.85546875" customWidth="1"/>
  </cols>
  <sheetData>
    <row r="1" spans="1:18" ht="21.75" customHeight="1" x14ac:dyDescent="0.25">
      <c r="A1" s="39" t="s">
        <v>43</v>
      </c>
      <c r="B1" s="40" t="s">
        <v>44</v>
      </c>
      <c r="C1" s="40" t="s">
        <v>45</v>
      </c>
      <c r="D1" s="40" t="s">
        <v>21</v>
      </c>
      <c r="E1" s="40" t="s">
        <v>46</v>
      </c>
      <c r="F1" s="40" t="s">
        <v>28</v>
      </c>
      <c r="G1" s="40" t="s">
        <v>47</v>
      </c>
      <c r="H1" s="40" t="s">
        <v>48</v>
      </c>
      <c r="I1" s="40" t="s">
        <v>26</v>
      </c>
      <c r="J1" s="40" t="s">
        <v>49</v>
      </c>
      <c r="K1" s="40" t="s">
        <v>50</v>
      </c>
      <c r="L1" s="40" t="s">
        <v>51</v>
      </c>
      <c r="M1" s="40" t="s">
        <v>52</v>
      </c>
      <c r="N1" s="40" t="s">
        <v>53</v>
      </c>
      <c r="O1" s="40" t="s">
        <v>54</v>
      </c>
      <c r="P1" s="40" t="s">
        <v>23</v>
      </c>
      <c r="Q1" s="40" t="s">
        <v>55</v>
      </c>
      <c r="R1" s="41" t="s">
        <v>56</v>
      </c>
    </row>
    <row r="2" spans="1:18" ht="15" customHeight="1" x14ac:dyDescent="0.25">
      <c r="A2" s="35">
        <v>1</v>
      </c>
      <c r="B2" s="22" t="s">
        <v>57</v>
      </c>
      <c r="C2" s="22" t="s">
        <v>58</v>
      </c>
      <c r="D2" s="22" t="s">
        <v>30</v>
      </c>
      <c r="E2" s="22" t="s">
        <v>59</v>
      </c>
      <c r="F2" s="22" t="s">
        <v>33</v>
      </c>
      <c r="G2" s="22" t="s">
        <v>60</v>
      </c>
      <c r="H2" s="22" t="s">
        <v>61</v>
      </c>
      <c r="I2" s="22" t="s">
        <v>32</v>
      </c>
      <c r="J2" s="22" t="s">
        <v>31</v>
      </c>
      <c r="K2" s="22" t="s">
        <v>62</v>
      </c>
      <c r="L2" s="22">
        <v>1</v>
      </c>
      <c r="M2" s="23">
        <v>79999</v>
      </c>
      <c r="N2" s="24">
        <v>0</v>
      </c>
      <c r="O2" s="23">
        <v>79999</v>
      </c>
      <c r="P2" s="23">
        <v>79999</v>
      </c>
      <c r="Q2" s="22" t="s">
        <v>63</v>
      </c>
      <c r="R2" s="37" t="s">
        <v>12</v>
      </c>
    </row>
    <row r="3" spans="1:18" ht="15" customHeight="1" x14ac:dyDescent="0.25">
      <c r="A3" s="36">
        <v>1</v>
      </c>
      <c r="B3" s="25" t="s">
        <v>57</v>
      </c>
      <c r="C3" s="25" t="s">
        <v>58</v>
      </c>
      <c r="D3" s="25" t="s">
        <v>30</v>
      </c>
      <c r="E3" s="25" t="s">
        <v>59</v>
      </c>
      <c r="F3" s="25" t="s">
        <v>33</v>
      </c>
      <c r="G3" s="25" t="s">
        <v>60</v>
      </c>
      <c r="H3" s="25" t="s">
        <v>61</v>
      </c>
      <c r="I3" s="25" t="s">
        <v>32</v>
      </c>
      <c r="J3" s="25" t="s">
        <v>42</v>
      </c>
      <c r="K3" s="25" t="s">
        <v>64</v>
      </c>
      <c r="L3" s="25">
        <v>1</v>
      </c>
      <c r="M3" s="26">
        <v>26990</v>
      </c>
      <c r="N3" s="27">
        <v>0</v>
      </c>
      <c r="O3" s="26">
        <v>26990</v>
      </c>
      <c r="P3" s="26">
        <v>26990</v>
      </c>
      <c r="Q3" s="25" t="s">
        <v>63</v>
      </c>
      <c r="R3" s="38" t="s">
        <v>12</v>
      </c>
    </row>
    <row r="4" spans="1:18" ht="15" customHeight="1" x14ac:dyDescent="0.25">
      <c r="A4" s="35">
        <v>2</v>
      </c>
      <c r="B4" s="22" t="s">
        <v>65</v>
      </c>
      <c r="C4" s="22" t="s">
        <v>58</v>
      </c>
      <c r="D4" s="22" t="s">
        <v>30</v>
      </c>
      <c r="E4" s="22" t="s">
        <v>66</v>
      </c>
      <c r="F4" s="22" t="s">
        <v>39</v>
      </c>
      <c r="G4" s="22" t="s">
        <v>67</v>
      </c>
      <c r="H4" s="22" t="s">
        <v>61</v>
      </c>
      <c r="I4" s="22" t="s">
        <v>68</v>
      </c>
      <c r="J4" s="22" t="s">
        <v>69</v>
      </c>
      <c r="K4" s="22" t="s">
        <v>70</v>
      </c>
      <c r="L4" s="22">
        <v>2</v>
      </c>
      <c r="M4" s="23">
        <v>3499</v>
      </c>
      <c r="N4" s="24">
        <v>0.05</v>
      </c>
      <c r="O4" s="23">
        <v>6998</v>
      </c>
      <c r="P4" s="23">
        <v>6648.1</v>
      </c>
      <c r="Q4" s="22" t="s">
        <v>71</v>
      </c>
      <c r="R4" s="37" t="s">
        <v>12</v>
      </c>
    </row>
    <row r="5" spans="1:18" ht="15" customHeight="1" x14ac:dyDescent="0.25">
      <c r="A5" s="36">
        <v>2</v>
      </c>
      <c r="B5" s="25" t="s">
        <v>65</v>
      </c>
      <c r="C5" s="25" t="s">
        <v>58</v>
      </c>
      <c r="D5" s="25" t="s">
        <v>30</v>
      </c>
      <c r="E5" s="25" t="s">
        <v>66</v>
      </c>
      <c r="F5" s="25" t="s">
        <v>39</v>
      </c>
      <c r="G5" s="25" t="s">
        <v>67</v>
      </c>
      <c r="H5" s="25" t="s">
        <v>61</v>
      </c>
      <c r="I5" s="25" t="s">
        <v>72</v>
      </c>
      <c r="J5" s="25" t="s">
        <v>73</v>
      </c>
      <c r="K5" s="25" t="s">
        <v>74</v>
      </c>
      <c r="L5" s="25">
        <v>1</v>
      </c>
      <c r="M5" s="26">
        <v>399</v>
      </c>
      <c r="N5" s="27">
        <v>0.05</v>
      </c>
      <c r="O5" s="26">
        <v>399</v>
      </c>
      <c r="P5" s="26">
        <v>379.05</v>
      </c>
      <c r="Q5" s="25" t="s">
        <v>71</v>
      </c>
      <c r="R5" s="38" t="s">
        <v>12</v>
      </c>
    </row>
    <row r="6" spans="1:18" ht="15" customHeight="1" x14ac:dyDescent="0.25">
      <c r="A6" s="35">
        <v>3</v>
      </c>
      <c r="B6" s="22" t="s">
        <v>75</v>
      </c>
      <c r="C6" s="22" t="s">
        <v>58</v>
      </c>
      <c r="D6" s="22" t="s">
        <v>30</v>
      </c>
      <c r="E6" s="22" t="s">
        <v>76</v>
      </c>
      <c r="F6" s="22" t="s">
        <v>33</v>
      </c>
      <c r="G6" s="22" t="s">
        <v>77</v>
      </c>
      <c r="H6" s="22" t="s">
        <v>78</v>
      </c>
      <c r="I6" s="22" t="s">
        <v>32</v>
      </c>
      <c r="J6" s="22" t="s">
        <v>35</v>
      </c>
      <c r="K6" s="22" t="s">
        <v>79</v>
      </c>
      <c r="L6" s="22">
        <v>1</v>
      </c>
      <c r="M6" s="23">
        <v>62000</v>
      </c>
      <c r="N6" s="24">
        <v>0</v>
      </c>
      <c r="O6" s="23">
        <v>62000</v>
      </c>
      <c r="P6" s="23">
        <v>62000</v>
      </c>
      <c r="Q6" s="22" t="s">
        <v>80</v>
      </c>
      <c r="R6" s="37" t="s">
        <v>12</v>
      </c>
    </row>
    <row r="7" spans="1:18" ht="15" customHeight="1" x14ac:dyDescent="0.25">
      <c r="A7" s="36">
        <v>4</v>
      </c>
      <c r="B7" s="25" t="s">
        <v>81</v>
      </c>
      <c r="C7" s="25" t="s">
        <v>58</v>
      </c>
      <c r="D7" s="25" t="s">
        <v>30</v>
      </c>
      <c r="E7" s="25" t="s">
        <v>82</v>
      </c>
      <c r="F7" s="25" t="s">
        <v>33</v>
      </c>
      <c r="G7" s="25" t="s">
        <v>83</v>
      </c>
      <c r="H7" s="25" t="s">
        <v>84</v>
      </c>
      <c r="I7" s="25" t="s">
        <v>68</v>
      </c>
      <c r="J7" s="25" t="s">
        <v>85</v>
      </c>
      <c r="K7" s="25" t="s">
        <v>86</v>
      </c>
      <c r="L7" s="25">
        <v>1</v>
      </c>
      <c r="M7" s="26">
        <v>8995</v>
      </c>
      <c r="N7" s="27">
        <v>0.1</v>
      </c>
      <c r="O7" s="26">
        <v>8995</v>
      </c>
      <c r="P7" s="26">
        <v>8095.5</v>
      </c>
      <c r="Q7" s="25" t="s">
        <v>63</v>
      </c>
      <c r="R7" s="38" t="s">
        <v>87</v>
      </c>
    </row>
    <row r="8" spans="1:18" ht="15" customHeight="1" x14ac:dyDescent="0.25">
      <c r="A8" s="35">
        <v>5</v>
      </c>
      <c r="B8" s="22" t="s">
        <v>88</v>
      </c>
      <c r="C8" s="22" t="s">
        <v>58</v>
      </c>
      <c r="D8" s="22" t="s">
        <v>30</v>
      </c>
      <c r="E8" s="22" t="s">
        <v>89</v>
      </c>
      <c r="F8" s="22" t="s">
        <v>36</v>
      </c>
      <c r="G8" s="22" t="s">
        <v>90</v>
      </c>
      <c r="H8" s="22" t="s">
        <v>91</v>
      </c>
      <c r="I8" s="22" t="s">
        <v>32</v>
      </c>
      <c r="J8" s="22" t="s">
        <v>38</v>
      </c>
      <c r="K8" s="22" t="s">
        <v>92</v>
      </c>
      <c r="L8" s="22">
        <v>1</v>
      </c>
      <c r="M8" s="23">
        <v>54999</v>
      </c>
      <c r="N8" s="24">
        <v>0</v>
      </c>
      <c r="O8" s="23">
        <v>54999</v>
      </c>
      <c r="P8" s="23">
        <v>54999</v>
      </c>
      <c r="Q8" s="22" t="s">
        <v>71</v>
      </c>
      <c r="R8" s="37" t="s">
        <v>12</v>
      </c>
    </row>
    <row r="9" spans="1:18" ht="15" customHeight="1" x14ac:dyDescent="0.25">
      <c r="A9" s="36">
        <v>6</v>
      </c>
      <c r="B9" s="25" t="s">
        <v>93</v>
      </c>
      <c r="C9" s="25" t="s">
        <v>58</v>
      </c>
      <c r="D9" s="25" t="s">
        <v>30</v>
      </c>
      <c r="E9" s="25" t="s">
        <v>94</v>
      </c>
      <c r="F9" s="25" t="s">
        <v>36</v>
      </c>
      <c r="G9" s="25" t="s">
        <v>95</v>
      </c>
      <c r="H9" s="25" t="s">
        <v>95</v>
      </c>
      <c r="I9" s="25" t="s">
        <v>68</v>
      </c>
      <c r="J9" s="25" t="s">
        <v>96</v>
      </c>
      <c r="K9" s="25" t="s">
        <v>97</v>
      </c>
      <c r="L9" s="25">
        <v>3</v>
      </c>
      <c r="M9" s="26">
        <v>1299</v>
      </c>
      <c r="N9" s="27">
        <v>0</v>
      </c>
      <c r="O9" s="26">
        <v>3897</v>
      </c>
      <c r="P9" s="26">
        <v>3897</v>
      </c>
      <c r="Q9" s="25" t="s">
        <v>98</v>
      </c>
      <c r="R9" s="38" t="s">
        <v>12</v>
      </c>
    </row>
    <row r="10" spans="1:18" ht="15" customHeight="1" x14ac:dyDescent="0.25">
      <c r="A10" s="35">
        <v>7</v>
      </c>
      <c r="B10" s="22" t="s">
        <v>99</v>
      </c>
      <c r="C10" s="22" t="s">
        <v>58</v>
      </c>
      <c r="D10" s="22" t="s">
        <v>30</v>
      </c>
      <c r="E10" s="22" t="s">
        <v>100</v>
      </c>
      <c r="F10" s="22" t="s">
        <v>36</v>
      </c>
      <c r="G10" s="22" t="s">
        <v>101</v>
      </c>
      <c r="H10" s="22" t="s">
        <v>102</v>
      </c>
      <c r="I10" s="22" t="s">
        <v>68</v>
      </c>
      <c r="J10" s="22" t="s">
        <v>96</v>
      </c>
      <c r="K10" s="22" t="s">
        <v>97</v>
      </c>
      <c r="L10" s="22">
        <v>3</v>
      </c>
      <c r="M10" s="23">
        <v>1299</v>
      </c>
      <c r="N10" s="24">
        <v>0.05</v>
      </c>
      <c r="O10" s="23">
        <v>3897</v>
      </c>
      <c r="P10" s="23">
        <v>3702.15</v>
      </c>
      <c r="Q10" s="22" t="s">
        <v>71</v>
      </c>
      <c r="R10" s="37" t="s">
        <v>12</v>
      </c>
    </row>
    <row r="11" spans="1:18" ht="15" customHeight="1" x14ac:dyDescent="0.25">
      <c r="A11" s="36">
        <v>7</v>
      </c>
      <c r="B11" s="25" t="s">
        <v>99</v>
      </c>
      <c r="C11" s="25" t="s">
        <v>58</v>
      </c>
      <c r="D11" s="25" t="s">
        <v>30</v>
      </c>
      <c r="E11" s="25" t="s">
        <v>100</v>
      </c>
      <c r="F11" s="25" t="s">
        <v>36</v>
      </c>
      <c r="G11" s="25" t="s">
        <v>101</v>
      </c>
      <c r="H11" s="25" t="s">
        <v>102</v>
      </c>
      <c r="I11" s="25" t="s">
        <v>72</v>
      </c>
      <c r="J11" s="25" t="s">
        <v>103</v>
      </c>
      <c r="K11" s="25" t="s">
        <v>104</v>
      </c>
      <c r="L11" s="25">
        <v>1</v>
      </c>
      <c r="M11" s="26">
        <v>649</v>
      </c>
      <c r="N11" s="27">
        <v>0.05</v>
      </c>
      <c r="O11" s="26">
        <v>649</v>
      </c>
      <c r="P11" s="26">
        <v>616.54999999999995</v>
      </c>
      <c r="Q11" s="25" t="s">
        <v>71</v>
      </c>
      <c r="R11" s="38" t="s">
        <v>12</v>
      </c>
    </row>
    <row r="12" spans="1:18" ht="15" customHeight="1" x14ac:dyDescent="0.25">
      <c r="A12" s="35">
        <v>8</v>
      </c>
      <c r="B12" s="22" t="s">
        <v>105</v>
      </c>
      <c r="C12" s="22" t="s">
        <v>106</v>
      </c>
      <c r="D12" s="22" t="s">
        <v>30</v>
      </c>
      <c r="E12" s="22" t="s">
        <v>107</v>
      </c>
      <c r="F12" s="22" t="s">
        <v>36</v>
      </c>
      <c r="G12" s="22" t="s">
        <v>108</v>
      </c>
      <c r="H12" s="22" t="s">
        <v>109</v>
      </c>
      <c r="I12" s="22" t="s">
        <v>110</v>
      </c>
      <c r="J12" s="22" t="s">
        <v>111</v>
      </c>
      <c r="K12" s="22" t="s">
        <v>112</v>
      </c>
      <c r="L12" s="22">
        <v>1</v>
      </c>
      <c r="M12" s="23">
        <v>3299</v>
      </c>
      <c r="N12" s="24">
        <v>0</v>
      </c>
      <c r="O12" s="23">
        <v>3299</v>
      </c>
      <c r="P12" s="23">
        <v>3299</v>
      </c>
      <c r="Q12" s="22" t="s">
        <v>63</v>
      </c>
      <c r="R12" s="37" t="s">
        <v>12</v>
      </c>
    </row>
    <row r="13" spans="1:18" ht="15" customHeight="1" x14ac:dyDescent="0.25">
      <c r="A13" s="36">
        <v>8</v>
      </c>
      <c r="B13" s="25" t="s">
        <v>105</v>
      </c>
      <c r="C13" s="25" t="s">
        <v>106</v>
      </c>
      <c r="D13" s="25" t="s">
        <v>30</v>
      </c>
      <c r="E13" s="25" t="s">
        <v>107</v>
      </c>
      <c r="F13" s="25" t="s">
        <v>36</v>
      </c>
      <c r="G13" s="25" t="s">
        <v>108</v>
      </c>
      <c r="H13" s="25" t="s">
        <v>109</v>
      </c>
      <c r="I13" s="25" t="s">
        <v>110</v>
      </c>
      <c r="J13" s="25" t="s">
        <v>113</v>
      </c>
      <c r="K13" s="25" t="s">
        <v>114</v>
      </c>
      <c r="L13" s="25">
        <v>2</v>
      </c>
      <c r="M13" s="26">
        <v>799</v>
      </c>
      <c r="N13" s="27">
        <v>0</v>
      </c>
      <c r="O13" s="26">
        <v>1598</v>
      </c>
      <c r="P13" s="26">
        <v>1598</v>
      </c>
      <c r="Q13" s="25" t="s">
        <v>63</v>
      </c>
      <c r="R13" s="38" t="s">
        <v>12</v>
      </c>
    </row>
    <row r="14" spans="1:18" ht="15" customHeight="1" x14ac:dyDescent="0.25">
      <c r="A14" s="35">
        <v>9</v>
      </c>
      <c r="B14" s="22" t="s">
        <v>115</v>
      </c>
      <c r="C14" s="22" t="s">
        <v>106</v>
      </c>
      <c r="D14" s="22" t="s">
        <v>30</v>
      </c>
      <c r="E14" s="22" t="s">
        <v>116</v>
      </c>
      <c r="F14" s="22" t="s">
        <v>39</v>
      </c>
      <c r="G14" s="22" t="s">
        <v>117</v>
      </c>
      <c r="H14" s="22" t="s">
        <v>118</v>
      </c>
      <c r="I14" s="22" t="s">
        <v>110</v>
      </c>
      <c r="J14" s="22" t="s">
        <v>119</v>
      </c>
      <c r="K14" s="22" t="s">
        <v>120</v>
      </c>
      <c r="L14" s="22">
        <v>1</v>
      </c>
      <c r="M14" s="23">
        <v>6999</v>
      </c>
      <c r="N14" s="24">
        <v>0</v>
      </c>
      <c r="O14" s="23">
        <v>6999</v>
      </c>
      <c r="P14" s="23">
        <v>6999</v>
      </c>
      <c r="Q14" s="22" t="s">
        <v>121</v>
      </c>
      <c r="R14" s="37" t="s">
        <v>12</v>
      </c>
    </row>
    <row r="15" spans="1:18" ht="15" customHeight="1" x14ac:dyDescent="0.25">
      <c r="A15" s="36">
        <v>10</v>
      </c>
      <c r="B15" s="25" t="s">
        <v>122</v>
      </c>
      <c r="C15" s="25" t="s">
        <v>106</v>
      </c>
      <c r="D15" s="25" t="s">
        <v>30</v>
      </c>
      <c r="E15" s="25" t="s">
        <v>123</v>
      </c>
      <c r="F15" s="25" t="s">
        <v>33</v>
      </c>
      <c r="G15" s="25" t="s">
        <v>124</v>
      </c>
      <c r="H15" s="25" t="s">
        <v>102</v>
      </c>
      <c r="I15" s="25" t="s">
        <v>72</v>
      </c>
      <c r="J15" s="25" t="s">
        <v>125</v>
      </c>
      <c r="K15" s="25" t="s">
        <v>126</v>
      </c>
      <c r="L15" s="25">
        <v>2</v>
      </c>
      <c r="M15" s="26">
        <v>599</v>
      </c>
      <c r="N15" s="27">
        <v>0.1</v>
      </c>
      <c r="O15" s="26">
        <v>1198</v>
      </c>
      <c r="P15" s="26">
        <v>1078.2</v>
      </c>
      <c r="Q15" s="25" t="s">
        <v>71</v>
      </c>
      <c r="R15" s="38" t="s">
        <v>12</v>
      </c>
    </row>
    <row r="16" spans="1:18" ht="15" customHeight="1" x14ac:dyDescent="0.25">
      <c r="A16" s="35">
        <v>10</v>
      </c>
      <c r="B16" s="22" t="s">
        <v>122</v>
      </c>
      <c r="C16" s="22" t="s">
        <v>106</v>
      </c>
      <c r="D16" s="22" t="s">
        <v>30</v>
      </c>
      <c r="E16" s="22" t="s">
        <v>123</v>
      </c>
      <c r="F16" s="22" t="s">
        <v>33</v>
      </c>
      <c r="G16" s="22" t="s">
        <v>124</v>
      </c>
      <c r="H16" s="22" t="s">
        <v>102</v>
      </c>
      <c r="I16" s="22" t="s">
        <v>72</v>
      </c>
      <c r="J16" s="22" t="s">
        <v>73</v>
      </c>
      <c r="K16" s="22" t="s">
        <v>74</v>
      </c>
      <c r="L16" s="22">
        <v>3</v>
      </c>
      <c r="M16" s="23">
        <v>399</v>
      </c>
      <c r="N16" s="24">
        <v>0.1</v>
      </c>
      <c r="O16" s="23">
        <v>1197</v>
      </c>
      <c r="P16" s="23">
        <v>1077.3</v>
      </c>
      <c r="Q16" s="22" t="s">
        <v>71</v>
      </c>
      <c r="R16" s="37" t="s">
        <v>12</v>
      </c>
    </row>
    <row r="17" spans="1:18" ht="15" customHeight="1" x14ac:dyDescent="0.25">
      <c r="A17" s="36">
        <v>11</v>
      </c>
      <c r="B17" s="25" t="s">
        <v>127</v>
      </c>
      <c r="C17" s="25" t="s">
        <v>106</v>
      </c>
      <c r="D17" s="25" t="s">
        <v>30</v>
      </c>
      <c r="E17" s="25" t="s">
        <v>59</v>
      </c>
      <c r="F17" s="25" t="s">
        <v>33</v>
      </c>
      <c r="G17" s="25" t="s">
        <v>60</v>
      </c>
      <c r="H17" s="25" t="s">
        <v>61</v>
      </c>
      <c r="I17" s="25" t="s">
        <v>32</v>
      </c>
      <c r="J17" s="25" t="s">
        <v>31</v>
      </c>
      <c r="K17" s="25" t="s">
        <v>62</v>
      </c>
      <c r="L17" s="25">
        <v>1</v>
      </c>
      <c r="M17" s="26">
        <v>79999</v>
      </c>
      <c r="N17" s="27">
        <v>0</v>
      </c>
      <c r="O17" s="26">
        <v>79999</v>
      </c>
      <c r="P17" s="26">
        <v>79999</v>
      </c>
      <c r="Q17" s="25" t="s">
        <v>63</v>
      </c>
      <c r="R17" s="38" t="s">
        <v>12</v>
      </c>
    </row>
    <row r="18" spans="1:18" ht="15" customHeight="1" x14ac:dyDescent="0.25">
      <c r="A18" s="35">
        <v>11</v>
      </c>
      <c r="B18" s="22" t="s">
        <v>127</v>
      </c>
      <c r="C18" s="22" t="s">
        <v>106</v>
      </c>
      <c r="D18" s="22" t="s">
        <v>30</v>
      </c>
      <c r="E18" s="22" t="s">
        <v>59</v>
      </c>
      <c r="F18" s="22" t="s">
        <v>33</v>
      </c>
      <c r="G18" s="22" t="s">
        <v>60</v>
      </c>
      <c r="H18" s="22" t="s">
        <v>61</v>
      </c>
      <c r="I18" s="22" t="s">
        <v>32</v>
      </c>
      <c r="J18" s="22" t="s">
        <v>42</v>
      </c>
      <c r="K18" s="22" t="s">
        <v>64</v>
      </c>
      <c r="L18" s="22">
        <v>1</v>
      </c>
      <c r="M18" s="23">
        <v>26990</v>
      </c>
      <c r="N18" s="24">
        <v>0</v>
      </c>
      <c r="O18" s="23">
        <v>26990</v>
      </c>
      <c r="P18" s="23">
        <v>26990</v>
      </c>
      <c r="Q18" s="22" t="s">
        <v>63</v>
      </c>
      <c r="R18" s="37" t="s">
        <v>12</v>
      </c>
    </row>
    <row r="19" spans="1:18" ht="15" customHeight="1" x14ac:dyDescent="0.25">
      <c r="A19" s="36">
        <v>12</v>
      </c>
      <c r="B19" s="25" t="s">
        <v>128</v>
      </c>
      <c r="C19" s="25" t="s">
        <v>129</v>
      </c>
      <c r="D19" s="25" t="s">
        <v>30</v>
      </c>
      <c r="E19" s="25" t="s">
        <v>130</v>
      </c>
      <c r="F19" s="25" t="s">
        <v>39</v>
      </c>
      <c r="G19" s="25" t="s">
        <v>67</v>
      </c>
      <c r="H19" s="25" t="s">
        <v>61</v>
      </c>
      <c r="I19" s="25" t="s">
        <v>110</v>
      </c>
      <c r="J19" s="25" t="s">
        <v>131</v>
      </c>
      <c r="K19" s="25" t="s">
        <v>132</v>
      </c>
      <c r="L19" s="25">
        <v>1</v>
      </c>
      <c r="M19" s="26">
        <v>2499</v>
      </c>
      <c r="N19" s="27">
        <v>0</v>
      </c>
      <c r="O19" s="26">
        <v>2499</v>
      </c>
      <c r="P19" s="26">
        <v>2499</v>
      </c>
      <c r="Q19" s="25" t="s">
        <v>98</v>
      </c>
      <c r="R19" s="38" t="s">
        <v>12</v>
      </c>
    </row>
    <row r="20" spans="1:18" ht="15" customHeight="1" x14ac:dyDescent="0.25">
      <c r="A20" s="35">
        <v>12</v>
      </c>
      <c r="B20" s="22" t="s">
        <v>128</v>
      </c>
      <c r="C20" s="22" t="s">
        <v>129</v>
      </c>
      <c r="D20" s="22" t="s">
        <v>30</v>
      </c>
      <c r="E20" s="22" t="s">
        <v>130</v>
      </c>
      <c r="F20" s="22" t="s">
        <v>39</v>
      </c>
      <c r="G20" s="22" t="s">
        <v>67</v>
      </c>
      <c r="H20" s="22" t="s">
        <v>61</v>
      </c>
      <c r="I20" s="22" t="s">
        <v>133</v>
      </c>
      <c r="J20" s="22" t="s">
        <v>134</v>
      </c>
      <c r="K20" s="22" t="s">
        <v>135</v>
      </c>
      <c r="L20" s="22">
        <v>2</v>
      </c>
      <c r="M20" s="23">
        <v>249</v>
      </c>
      <c r="N20" s="24">
        <v>0</v>
      </c>
      <c r="O20" s="23">
        <v>498</v>
      </c>
      <c r="P20" s="23">
        <v>498</v>
      </c>
      <c r="Q20" s="22" t="s">
        <v>98</v>
      </c>
      <c r="R20" s="37" t="s">
        <v>12</v>
      </c>
    </row>
    <row r="21" spans="1:18" ht="15" customHeight="1" x14ac:dyDescent="0.25">
      <c r="A21" s="36">
        <v>13</v>
      </c>
      <c r="B21" s="25" t="s">
        <v>136</v>
      </c>
      <c r="C21" s="25" t="s">
        <v>129</v>
      </c>
      <c r="D21" s="25" t="s">
        <v>30</v>
      </c>
      <c r="E21" s="25" t="s">
        <v>137</v>
      </c>
      <c r="F21" s="25" t="s">
        <v>36</v>
      </c>
      <c r="G21" s="25" t="s">
        <v>138</v>
      </c>
      <c r="H21" s="25" t="s">
        <v>139</v>
      </c>
      <c r="I21" s="25" t="s">
        <v>140</v>
      </c>
      <c r="J21" s="25" t="s">
        <v>141</v>
      </c>
      <c r="K21" s="25" t="s">
        <v>142</v>
      </c>
      <c r="L21" s="25">
        <v>1</v>
      </c>
      <c r="M21" s="26">
        <v>799</v>
      </c>
      <c r="N21" s="27">
        <v>0.05</v>
      </c>
      <c r="O21" s="26">
        <v>799</v>
      </c>
      <c r="P21" s="26">
        <v>759.05</v>
      </c>
      <c r="Q21" s="25" t="s">
        <v>80</v>
      </c>
      <c r="R21" s="38" t="s">
        <v>12</v>
      </c>
    </row>
    <row r="22" spans="1:18" ht="15" customHeight="1" x14ac:dyDescent="0.25">
      <c r="A22" s="35">
        <v>14</v>
      </c>
      <c r="B22" s="22" t="s">
        <v>143</v>
      </c>
      <c r="C22" s="22" t="s">
        <v>144</v>
      </c>
      <c r="D22" s="22" t="s">
        <v>34</v>
      </c>
      <c r="E22" s="22" t="s">
        <v>89</v>
      </c>
      <c r="F22" s="22" t="s">
        <v>36</v>
      </c>
      <c r="G22" s="22" t="s">
        <v>90</v>
      </c>
      <c r="H22" s="22" t="s">
        <v>91</v>
      </c>
      <c r="I22" s="22" t="s">
        <v>32</v>
      </c>
      <c r="J22" s="22" t="s">
        <v>38</v>
      </c>
      <c r="K22" s="22" t="s">
        <v>92</v>
      </c>
      <c r="L22" s="22">
        <v>1</v>
      </c>
      <c r="M22" s="23">
        <v>54999</v>
      </c>
      <c r="N22" s="24">
        <v>0</v>
      </c>
      <c r="O22" s="23">
        <v>54999</v>
      </c>
      <c r="P22" s="23">
        <v>54999</v>
      </c>
      <c r="Q22" s="22" t="s">
        <v>63</v>
      </c>
      <c r="R22" s="37" t="s">
        <v>12</v>
      </c>
    </row>
    <row r="23" spans="1:18" ht="15" customHeight="1" x14ac:dyDescent="0.25">
      <c r="A23" s="36">
        <v>14</v>
      </c>
      <c r="B23" s="25" t="s">
        <v>143</v>
      </c>
      <c r="C23" s="25" t="s">
        <v>144</v>
      </c>
      <c r="D23" s="25" t="s">
        <v>34</v>
      </c>
      <c r="E23" s="25" t="s">
        <v>89</v>
      </c>
      <c r="F23" s="25" t="s">
        <v>36</v>
      </c>
      <c r="G23" s="25" t="s">
        <v>90</v>
      </c>
      <c r="H23" s="25" t="s">
        <v>91</v>
      </c>
      <c r="I23" s="25" t="s">
        <v>32</v>
      </c>
      <c r="J23" s="25" t="s">
        <v>145</v>
      </c>
      <c r="K23" s="25" t="s">
        <v>146</v>
      </c>
      <c r="L23" s="25">
        <v>3</v>
      </c>
      <c r="M23" s="26">
        <v>1499</v>
      </c>
      <c r="N23" s="27">
        <v>0</v>
      </c>
      <c r="O23" s="26">
        <v>4497</v>
      </c>
      <c r="P23" s="26">
        <v>4497</v>
      </c>
      <c r="Q23" s="25" t="s">
        <v>63</v>
      </c>
      <c r="R23" s="38" t="s">
        <v>12</v>
      </c>
    </row>
    <row r="24" spans="1:18" ht="15" customHeight="1" x14ac:dyDescent="0.25">
      <c r="A24" s="35">
        <v>15</v>
      </c>
      <c r="B24" s="22" t="s">
        <v>147</v>
      </c>
      <c r="C24" s="22" t="s">
        <v>144</v>
      </c>
      <c r="D24" s="22" t="s">
        <v>34</v>
      </c>
      <c r="E24" s="22" t="s">
        <v>59</v>
      </c>
      <c r="F24" s="22" t="s">
        <v>33</v>
      </c>
      <c r="G24" s="22" t="s">
        <v>60</v>
      </c>
      <c r="H24" s="22" t="s">
        <v>61</v>
      </c>
      <c r="I24" s="22" t="s">
        <v>32</v>
      </c>
      <c r="J24" s="22" t="s">
        <v>42</v>
      </c>
      <c r="K24" s="22" t="s">
        <v>64</v>
      </c>
      <c r="L24" s="22">
        <v>1</v>
      </c>
      <c r="M24" s="23">
        <v>26990</v>
      </c>
      <c r="N24" s="24">
        <v>0.05</v>
      </c>
      <c r="O24" s="23">
        <v>26990</v>
      </c>
      <c r="P24" s="23">
        <v>25640.5</v>
      </c>
      <c r="Q24" s="22" t="s">
        <v>71</v>
      </c>
      <c r="R24" s="37" t="s">
        <v>12</v>
      </c>
    </row>
    <row r="25" spans="1:18" ht="15" customHeight="1" x14ac:dyDescent="0.25">
      <c r="A25" s="36">
        <v>15</v>
      </c>
      <c r="B25" s="25" t="s">
        <v>147</v>
      </c>
      <c r="C25" s="25" t="s">
        <v>144</v>
      </c>
      <c r="D25" s="25" t="s">
        <v>34</v>
      </c>
      <c r="E25" s="25" t="s">
        <v>59</v>
      </c>
      <c r="F25" s="25" t="s">
        <v>33</v>
      </c>
      <c r="G25" s="25" t="s">
        <v>60</v>
      </c>
      <c r="H25" s="25" t="s">
        <v>61</v>
      </c>
      <c r="I25" s="25" t="s">
        <v>110</v>
      </c>
      <c r="J25" s="25" t="s">
        <v>113</v>
      </c>
      <c r="K25" s="25" t="s">
        <v>114</v>
      </c>
      <c r="L25" s="25">
        <v>3</v>
      </c>
      <c r="M25" s="26">
        <v>799</v>
      </c>
      <c r="N25" s="27">
        <v>0.05</v>
      </c>
      <c r="O25" s="26">
        <v>2397</v>
      </c>
      <c r="P25" s="26">
        <v>2277.15</v>
      </c>
      <c r="Q25" s="25" t="s">
        <v>71</v>
      </c>
      <c r="R25" s="38" t="s">
        <v>12</v>
      </c>
    </row>
    <row r="26" spans="1:18" ht="15" customHeight="1" x14ac:dyDescent="0.25">
      <c r="A26" s="35">
        <v>16</v>
      </c>
      <c r="B26" s="22" t="s">
        <v>148</v>
      </c>
      <c r="C26" s="22" t="s">
        <v>149</v>
      </c>
      <c r="D26" s="22" t="s">
        <v>34</v>
      </c>
      <c r="E26" s="22" t="s">
        <v>76</v>
      </c>
      <c r="F26" s="22" t="s">
        <v>33</v>
      </c>
      <c r="G26" s="22" t="s">
        <v>77</v>
      </c>
      <c r="H26" s="22" t="s">
        <v>78</v>
      </c>
      <c r="I26" s="22" t="s">
        <v>32</v>
      </c>
      <c r="J26" s="22" t="s">
        <v>41</v>
      </c>
      <c r="K26" s="22" t="s">
        <v>150</v>
      </c>
      <c r="L26" s="22">
        <v>1</v>
      </c>
      <c r="M26" s="23">
        <v>24999</v>
      </c>
      <c r="N26" s="24">
        <v>0</v>
      </c>
      <c r="O26" s="23">
        <v>24999</v>
      </c>
      <c r="P26" s="23">
        <v>24999</v>
      </c>
      <c r="Q26" s="22" t="s">
        <v>63</v>
      </c>
      <c r="R26" s="37" t="s">
        <v>12</v>
      </c>
    </row>
    <row r="27" spans="1:18" ht="15" customHeight="1" x14ac:dyDescent="0.25">
      <c r="A27" s="36">
        <v>17</v>
      </c>
      <c r="B27" s="25" t="s">
        <v>151</v>
      </c>
      <c r="C27" s="25" t="s">
        <v>149</v>
      </c>
      <c r="D27" s="25" t="s">
        <v>34</v>
      </c>
      <c r="E27" s="25" t="s">
        <v>100</v>
      </c>
      <c r="F27" s="25" t="s">
        <v>36</v>
      </c>
      <c r="G27" s="25" t="s">
        <v>101</v>
      </c>
      <c r="H27" s="25" t="s">
        <v>102</v>
      </c>
      <c r="I27" s="25" t="s">
        <v>68</v>
      </c>
      <c r="J27" s="25" t="s">
        <v>96</v>
      </c>
      <c r="K27" s="25" t="s">
        <v>97</v>
      </c>
      <c r="L27" s="25">
        <v>2</v>
      </c>
      <c r="M27" s="26">
        <v>1299</v>
      </c>
      <c r="N27" s="27">
        <v>0.05</v>
      </c>
      <c r="O27" s="26">
        <v>2598</v>
      </c>
      <c r="P27" s="26">
        <v>2468.1</v>
      </c>
      <c r="Q27" s="25" t="s">
        <v>71</v>
      </c>
      <c r="R27" s="38" t="s">
        <v>12</v>
      </c>
    </row>
    <row r="28" spans="1:18" ht="15" customHeight="1" x14ac:dyDescent="0.25">
      <c r="A28" s="35">
        <v>17</v>
      </c>
      <c r="B28" s="22" t="s">
        <v>151</v>
      </c>
      <c r="C28" s="22" t="s">
        <v>149</v>
      </c>
      <c r="D28" s="22" t="s">
        <v>34</v>
      </c>
      <c r="E28" s="22" t="s">
        <v>100</v>
      </c>
      <c r="F28" s="22" t="s">
        <v>36</v>
      </c>
      <c r="G28" s="22" t="s">
        <v>101</v>
      </c>
      <c r="H28" s="22" t="s">
        <v>102</v>
      </c>
      <c r="I28" s="22" t="s">
        <v>68</v>
      </c>
      <c r="J28" s="22" t="s">
        <v>152</v>
      </c>
      <c r="K28" s="22" t="s">
        <v>153</v>
      </c>
      <c r="L28" s="22">
        <v>2</v>
      </c>
      <c r="M28" s="23">
        <v>1799</v>
      </c>
      <c r="N28" s="24">
        <v>0.05</v>
      </c>
      <c r="O28" s="23">
        <v>3598</v>
      </c>
      <c r="P28" s="23">
        <v>3418.1</v>
      </c>
      <c r="Q28" s="22" t="s">
        <v>71</v>
      </c>
      <c r="R28" s="37" t="s">
        <v>12</v>
      </c>
    </row>
    <row r="29" spans="1:18" ht="15" customHeight="1" x14ac:dyDescent="0.25">
      <c r="A29" s="36">
        <v>18</v>
      </c>
      <c r="B29" s="25" t="s">
        <v>154</v>
      </c>
      <c r="C29" s="25" t="s">
        <v>149</v>
      </c>
      <c r="D29" s="25" t="s">
        <v>34</v>
      </c>
      <c r="E29" s="25" t="s">
        <v>123</v>
      </c>
      <c r="F29" s="25" t="s">
        <v>33</v>
      </c>
      <c r="G29" s="25" t="s">
        <v>124</v>
      </c>
      <c r="H29" s="25" t="s">
        <v>102</v>
      </c>
      <c r="I29" s="25" t="s">
        <v>72</v>
      </c>
      <c r="J29" s="25" t="s">
        <v>155</v>
      </c>
      <c r="K29" s="25" t="s">
        <v>156</v>
      </c>
      <c r="L29" s="25">
        <v>2</v>
      </c>
      <c r="M29" s="26">
        <v>799</v>
      </c>
      <c r="N29" s="27">
        <v>0</v>
      </c>
      <c r="O29" s="26">
        <v>1598</v>
      </c>
      <c r="P29" s="26">
        <v>1598</v>
      </c>
      <c r="Q29" s="25" t="s">
        <v>121</v>
      </c>
      <c r="R29" s="38" t="s">
        <v>12</v>
      </c>
    </row>
    <row r="30" spans="1:18" ht="15" customHeight="1" x14ac:dyDescent="0.25">
      <c r="A30" s="35">
        <v>18</v>
      </c>
      <c r="B30" s="22" t="s">
        <v>154</v>
      </c>
      <c r="C30" s="22" t="s">
        <v>149</v>
      </c>
      <c r="D30" s="22" t="s">
        <v>34</v>
      </c>
      <c r="E30" s="22" t="s">
        <v>123</v>
      </c>
      <c r="F30" s="22" t="s">
        <v>33</v>
      </c>
      <c r="G30" s="22" t="s">
        <v>124</v>
      </c>
      <c r="H30" s="22" t="s">
        <v>102</v>
      </c>
      <c r="I30" s="22" t="s">
        <v>72</v>
      </c>
      <c r="J30" s="22" t="s">
        <v>125</v>
      </c>
      <c r="K30" s="22" t="s">
        <v>126</v>
      </c>
      <c r="L30" s="22">
        <v>3</v>
      </c>
      <c r="M30" s="23">
        <v>599</v>
      </c>
      <c r="N30" s="24">
        <v>0</v>
      </c>
      <c r="O30" s="23">
        <v>1797</v>
      </c>
      <c r="P30" s="23">
        <v>1797</v>
      </c>
      <c r="Q30" s="22" t="s">
        <v>121</v>
      </c>
      <c r="R30" s="37" t="s">
        <v>12</v>
      </c>
    </row>
    <row r="31" spans="1:18" ht="15" customHeight="1" x14ac:dyDescent="0.25">
      <c r="A31" s="36">
        <v>19</v>
      </c>
      <c r="B31" s="25" t="s">
        <v>157</v>
      </c>
      <c r="C31" s="25" t="s">
        <v>158</v>
      </c>
      <c r="D31" s="25" t="s">
        <v>34</v>
      </c>
      <c r="E31" s="25" t="s">
        <v>94</v>
      </c>
      <c r="F31" s="25" t="s">
        <v>36</v>
      </c>
      <c r="G31" s="25" t="s">
        <v>95</v>
      </c>
      <c r="H31" s="25" t="s">
        <v>95</v>
      </c>
      <c r="I31" s="25" t="s">
        <v>32</v>
      </c>
      <c r="J31" s="25" t="s">
        <v>35</v>
      </c>
      <c r="K31" s="25" t="s">
        <v>79</v>
      </c>
      <c r="L31" s="25">
        <v>1</v>
      </c>
      <c r="M31" s="26">
        <v>62000</v>
      </c>
      <c r="N31" s="27">
        <v>0</v>
      </c>
      <c r="O31" s="26">
        <v>62000</v>
      </c>
      <c r="P31" s="26">
        <v>62000</v>
      </c>
      <c r="Q31" s="25" t="s">
        <v>80</v>
      </c>
      <c r="R31" s="38" t="s">
        <v>12</v>
      </c>
    </row>
    <row r="32" spans="1:18" ht="15" customHeight="1" x14ac:dyDescent="0.25">
      <c r="A32" s="35">
        <v>20</v>
      </c>
      <c r="B32" s="22" t="s">
        <v>159</v>
      </c>
      <c r="C32" s="22" t="s">
        <v>158</v>
      </c>
      <c r="D32" s="22" t="s">
        <v>34</v>
      </c>
      <c r="E32" s="22" t="s">
        <v>59</v>
      </c>
      <c r="F32" s="22" t="s">
        <v>33</v>
      </c>
      <c r="G32" s="22" t="s">
        <v>60</v>
      </c>
      <c r="H32" s="22" t="s">
        <v>61</v>
      </c>
      <c r="I32" s="22" t="s">
        <v>32</v>
      </c>
      <c r="J32" s="22" t="s">
        <v>31</v>
      </c>
      <c r="K32" s="22" t="s">
        <v>62</v>
      </c>
      <c r="L32" s="22">
        <v>1</v>
      </c>
      <c r="M32" s="23">
        <v>79999</v>
      </c>
      <c r="N32" s="24">
        <v>0</v>
      </c>
      <c r="O32" s="23">
        <v>79999</v>
      </c>
      <c r="P32" s="23">
        <v>79999</v>
      </c>
      <c r="Q32" s="22" t="s">
        <v>63</v>
      </c>
      <c r="R32" s="37" t="s">
        <v>12</v>
      </c>
    </row>
    <row r="33" spans="1:18" ht="15" customHeight="1" x14ac:dyDescent="0.25">
      <c r="A33" s="36">
        <v>21</v>
      </c>
      <c r="B33" s="25" t="s">
        <v>160</v>
      </c>
      <c r="C33" s="25" t="s">
        <v>158</v>
      </c>
      <c r="D33" s="25" t="s">
        <v>34</v>
      </c>
      <c r="E33" s="25" t="s">
        <v>161</v>
      </c>
      <c r="F33" s="25" t="s">
        <v>39</v>
      </c>
      <c r="G33" s="25" t="s">
        <v>162</v>
      </c>
      <c r="H33" s="25" t="s">
        <v>139</v>
      </c>
      <c r="I33" s="25" t="s">
        <v>32</v>
      </c>
      <c r="J33" s="25" t="s">
        <v>35</v>
      </c>
      <c r="K33" s="25" t="s">
        <v>79</v>
      </c>
      <c r="L33" s="25">
        <v>1</v>
      </c>
      <c r="M33" s="26">
        <v>62000</v>
      </c>
      <c r="N33" s="27">
        <v>0</v>
      </c>
      <c r="O33" s="26">
        <v>62000</v>
      </c>
      <c r="P33" s="26">
        <v>62000</v>
      </c>
      <c r="Q33" s="25" t="s">
        <v>98</v>
      </c>
      <c r="R33" s="38" t="s">
        <v>12</v>
      </c>
    </row>
    <row r="34" spans="1:18" ht="15" customHeight="1" x14ac:dyDescent="0.25">
      <c r="A34" s="35">
        <v>22</v>
      </c>
      <c r="B34" s="22" t="s">
        <v>163</v>
      </c>
      <c r="C34" s="22" t="s">
        <v>164</v>
      </c>
      <c r="D34" s="22" t="s">
        <v>37</v>
      </c>
      <c r="E34" s="22" t="s">
        <v>82</v>
      </c>
      <c r="F34" s="22" t="s">
        <v>33</v>
      </c>
      <c r="G34" s="22" t="s">
        <v>83</v>
      </c>
      <c r="H34" s="22" t="s">
        <v>84</v>
      </c>
      <c r="I34" s="22" t="s">
        <v>110</v>
      </c>
      <c r="J34" s="22" t="s">
        <v>111</v>
      </c>
      <c r="K34" s="22" t="s">
        <v>112</v>
      </c>
      <c r="L34" s="22">
        <v>1</v>
      </c>
      <c r="M34" s="23">
        <v>3299</v>
      </c>
      <c r="N34" s="24">
        <v>0.05</v>
      </c>
      <c r="O34" s="23">
        <v>3299</v>
      </c>
      <c r="P34" s="23">
        <v>3134.05</v>
      </c>
      <c r="Q34" s="22" t="s">
        <v>63</v>
      </c>
      <c r="R34" s="37" t="s">
        <v>12</v>
      </c>
    </row>
    <row r="35" spans="1:18" ht="15" customHeight="1" x14ac:dyDescent="0.25">
      <c r="A35" s="36">
        <v>22</v>
      </c>
      <c r="B35" s="25" t="s">
        <v>163</v>
      </c>
      <c r="C35" s="25" t="s">
        <v>164</v>
      </c>
      <c r="D35" s="25" t="s">
        <v>37</v>
      </c>
      <c r="E35" s="25" t="s">
        <v>82</v>
      </c>
      <c r="F35" s="25" t="s">
        <v>33</v>
      </c>
      <c r="G35" s="25" t="s">
        <v>83</v>
      </c>
      <c r="H35" s="25" t="s">
        <v>84</v>
      </c>
      <c r="I35" s="25" t="s">
        <v>110</v>
      </c>
      <c r="J35" s="25" t="s">
        <v>119</v>
      </c>
      <c r="K35" s="25" t="s">
        <v>120</v>
      </c>
      <c r="L35" s="25">
        <v>1</v>
      </c>
      <c r="M35" s="26">
        <v>6999</v>
      </c>
      <c r="N35" s="27">
        <v>0.05</v>
      </c>
      <c r="O35" s="26">
        <v>6999</v>
      </c>
      <c r="P35" s="26">
        <v>6649.05</v>
      </c>
      <c r="Q35" s="25" t="s">
        <v>63</v>
      </c>
      <c r="R35" s="38" t="s">
        <v>12</v>
      </c>
    </row>
    <row r="36" spans="1:18" ht="15" customHeight="1" x14ac:dyDescent="0.25">
      <c r="A36" s="35">
        <v>23</v>
      </c>
      <c r="B36" s="22" t="s">
        <v>165</v>
      </c>
      <c r="C36" s="22" t="s">
        <v>164</v>
      </c>
      <c r="D36" s="22" t="s">
        <v>37</v>
      </c>
      <c r="E36" s="22" t="s">
        <v>76</v>
      </c>
      <c r="F36" s="22" t="s">
        <v>33</v>
      </c>
      <c r="G36" s="22" t="s">
        <v>77</v>
      </c>
      <c r="H36" s="22" t="s">
        <v>78</v>
      </c>
      <c r="I36" s="22" t="s">
        <v>32</v>
      </c>
      <c r="J36" s="22" t="s">
        <v>38</v>
      </c>
      <c r="K36" s="22" t="s">
        <v>92</v>
      </c>
      <c r="L36" s="22">
        <v>1</v>
      </c>
      <c r="M36" s="23">
        <v>54999</v>
      </c>
      <c r="N36" s="24">
        <v>0</v>
      </c>
      <c r="O36" s="23">
        <v>54999</v>
      </c>
      <c r="P36" s="23">
        <v>54999</v>
      </c>
      <c r="Q36" s="22" t="s">
        <v>80</v>
      </c>
      <c r="R36" s="37" t="s">
        <v>12</v>
      </c>
    </row>
    <row r="37" spans="1:18" ht="15" customHeight="1" x14ac:dyDescent="0.25">
      <c r="A37" s="36">
        <v>24</v>
      </c>
      <c r="B37" s="25" t="s">
        <v>166</v>
      </c>
      <c r="C37" s="25" t="s">
        <v>164</v>
      </c>
      <c r="D37" s="25" t="s">
        <v>37</v>
      </c>
      <c r="E37" s="25" t="s">
        <v>167</v>
      </c>
      <c r="F37" s="25" t="s">
        <v>33</v>
      </c>
      <c r="G37" s="25" t="s">
        <v>168</v>
      </c>
      <c r="H37" s="25" t="s">
        <v>169</v>
      </c>
      <c r="I37" s="25" t="s">
        <v>32</v>
      </c>
      <c r="J37" s="25" t="s">
        <v>31</v>
      </c>
      <c r="K37" s="25" t="s">
        <v>62</v>
      </c>
      <c r="L37" s="25">
        <v>1</v>
      </c>
      <c r="M37" s="26">
        <v>79999</v>
      </c>
      <c r="N37" s="27">
        <v>0.1</v>
      </c>
      <c r="O37" s="26">
        <v>79999</v>
      </c>
      <c r="P37" s="26">
        <v>71999.100000000006</v>
      </c>
      <c r="Q37" s="25" t="s">
        <v>71</v>
      </c>
      <c r="R37" s="38" t="s">
        <v>12</v>
      </c>
    </row>
    <row r="38" spans="1:18" ht="15" customHeight="1" x14ac:dyDescent="0.25">
      <c r="A38" s="35">
        <v>24</v>
      </c>
      <c r="B38" s="22" t="s">
        <v>166</v>
      </c>
      <c r="C38" s="22" t="s">
        <v>164</v>
      </c>
      <c r="D38" s="22" t="s">
        <v>37</v>
      </c>
      <c r="E38" s="22" t="s">
        <v>167</v>
      </c>
      <c r="F38" s="22" t="s">
        <v>33</v>
      </c>
      <c r="G38" s="22" t="s">
        <v>168</v>
      </c>
      <c r="H38" s="22" t="s">
        <v>169</v>
      </c>
      <c r="I38" s="22" t="s">
        <v>32</v>
      </c>
      <c r="J38" s="22" t="s">
        <v>145</v>
      </c>
      <c r="K38" s="22" t="s">
        <v>146</v>
      </c>
      <c r="L38" s="22">
        <v>2</v>
      </c>
      <c r="M38" s="23">
        <v>1499</v>
      </c>
      <c r="N38" s="24">
        <v>0.1</v>
      </c>
      <c r="O38" s="23">
        <v>2998</v>
      </c>
      <c r="P38" s="23">
        <v>2698.2</v>
      </c>
      <c r="Q38" s="22" t="s">
        <v>71</v>
      </c>
      <c r="R38" s="37" t="s">
        <v>12</v>
      </c>
    </row>
    <row r="39" spans="1:18" ht="15" customHeight="1" x14ac:dyDescent="0.25">
      <c r="A39" s="36">
        <v>25</v>
      </c>
      <c r="B39" s="25" t="s">
        <v>170</v>
      </c>
      <c r="C39" s="25" t="s">
        <v>164</v>
      </c>
      <c r="D39" s="25" t="s">
        <v>37</v>
      </c>
      <c r="E39" s="25" t="s">
        <v>89</v>
      </c>
      <c r="F39" s="25" t="s">
        <v>36</v>
      </c>
      <c r="G39" s="25" t="s">
        <v>90</v>
      </c>
      <c r="H39" s="25" t="s">
        <v>91</v>
      </c>
      <c r="I39" s="25" t="s">
        <v>32</v>
      </c>
      <c r="J39" s="25" t="s">
        <v>38</v>
      </c>
      <c r="K39" s="25" t="s">
        <v>92</v>
      </c>
      <c r="L39" s="25">
        <v>1</v>
      </c>
      <c r="M39" s="26">
        <v>54999</v>
      </c>
      <c r="N39" s="27">
        <v>0</v>
      </c>
      <c r="O39" s="26">
        <v>54999</v>
      </c>
      <c r="P39" s="26">
        <v>54999</v>
      </c>
      <c r="Q39" s="25" t="s">
        <v>63</v>
      </c>
      <c r="R39" s="38" t="s">
        <v>12</v>
      </c>
    </row>
    <row r="40" spans="1:18" ht="15" customHeight="1" x14ac:dyDescent="0.25">
      <c r="A40" s="35">
        <v>26</v>
      </c>
      <c r="B40" s="22" t="s">
        <v>171</v>
      </c>
      <c r="C40" s="22" t="s">
        <v>164</v>
      </c>
      <c r="D40" s="22" t="s">
        <v>37</v>
      </c>
      <c r="E40" s="22" t="s">
        <v>107</v>
      </c>
      <c r="F40" s="22" t="s">
        <v>36</v>
      </c>
      <c r="G40" s="22" t="s">
        <v>108</v>
      </c>
      <c r="H40" s="22" t="s">
        <v>109</v>
      </c>
      <c r="I40" s="22" t="s">
        <v>68</v>
      </c>
      <c r="J40" s="22" t="s">
        <v>85</v>
      </c>
      <c r="K40" s="22" t="s">
        <v>86</v>
      </c>
      <c r="L40" s="22">
        <v>1</v>
      </c>
      <c r="M40" s="23">
        <v>8995</v>
      </c>
      <c r="N40" s="24">
        <v>0.05</v>
      </c>
      <c r="O40" s="23">
        <v>8995</v>
      </c>
      <c r="P40" s="23">
        <v>8545.25</v>
      </c>
      <c r="Q40" s="22" t="s">
        <v>98</v>
      </c>
      <c r="R40" s="37" t="s">
        <v>12</v>
      </c>
    </row>
    <row r="41" spans="1:18" ht="15" customHeight="1" x14ac:dyDescent="0.25">
      <c r="A41" s="36">
        <v>26</v>
      </c>
      <c r="B41" s="25" t="s">
        <v>171</v>
      </c>
      <c r="C41" s="25" t="s">
        <v>164</v>
      </c>
      <c r="D41" s="25" t="s">
        <v>37</v>
      </c>
      <c r="E41" s="25" t="s">
        <v>107</v>
      </c>
      <c r="F41" s="25" t="s">
        <v>36</v>
      </c>
      <c r="G41" s="25" t="s">
        <v>108</v>
      </c>
      <c r="H41" s="25" t="s">
        <v>109</v>
      </c>
      <c r="I41" s="25" t="s">
        <v>68</v>
      </c>
      <c r="J41" s="25" t="s">
        <v>152</v>
      </c>
      <c r="K41" s="25" t="s">
        <v>153</v>
      </c>
      <c r="L41" s="25">
        <v>2</v>
      </c>
      <c r="M41" s="26">
        <v>1799</v>
      </c>
      <c r="N41" s="27">
        <v>0.05</v>
      </c>
      <c r="O41" s="26">
        <v>3598</v>
      </c>
      <c r="P41" s="26">
        <v>3418.1</v>
      </c>
      <c r="Q41" s="25" t="s">
        <v>98</v>
      </c>
      <c r="R41" s="38" t="s">
        <v>12</v>
      </c>
    </row>
    <row r="42" spans="1:18" ht="15" customHeight="1" x14ac:dyDescent="0.25">
      <c r="A42" s="35">
        <v>27</v>
      </c>
      <c r="B42" s="22" t="s">
        <v>172</v>
      </c>
      <c r="C42" s="22" t="s">
        <v>173</v>
      </c>
      <c r="D42" s="22" t="s">
        <v>37</v>
      </c>
      <c r="E42" s="22" t="s">
        <v>59</v>
      </c>
      <c r="F42" s="22" t="s">
        <v>33</v>
      </c>
      <c r="G42" s="22" t="s">
        <v>60</v>
      </c>
      <c r="H42" s="22" t="s">
        <v>61</v>
      </c>
      <c r="I42" s="22" t="s">
        <v>32</v>
      </c>
      <c r="J42" s="22" t="s">
        <v>31</v>
      </c>
      <c r="K42" s="22" t="s">
        <v>62</v>
      </c>
      <c r="L42" s="22">
        <v>1</v>
      </c>
      <c r="M42" s="23">
        <v>79999</v>
      </c>
      <c r="N42" s="24">
        <v>0</v>
      </c>
      <c r="O42" s="23">
        <v>79999</v>
      </c>
      <c r="P42" s="23">
        <v>79999</v>
      </c>
      <c r="Q42" s="22" t="s">
        <v>63</v>
      </c>
      <c r="R42" s="37" t="s">
        <v>12</v>
      </c>
    </row>
    <row r="43" spans="1:18" ht="15" customHeight="1" x14ac:dyDescent="0.25">
      <c r="A43" s="36">
        <v>28</v>
      </c>
      <c r="B43" s="25" t="s">
        <v>174</v>
      </c>
      <c r="C43" s="25" t="s">
        <v>173</v>
      </c>
      <c r="D43" s="25" t="s">
        <v>37</v>
      </c>
      <c r="E43" s="25" t="s">
        <v>94</v>
      </c>
      <c r="F43" s="25" t="s">
        <v>36</v>
      </c>
      <c r="G43" s="25" t="s">
        <v>95</v>
      </c>
      <c r="H43" s="25" t="s">
        <v>95</v>
      </c>
      <c r="I43" s="25" t="s">
        <v>32</v>
      </c>
      <c r="J43" s="25" t="s">
        <v>35</v>
      </c>
      <c r="K43" s="25" t="s">
        <v>79</v>
      </c>
      <c r="L43" s="25">
        <v>1</v>
      </c>
      <c r="M43" s="26">
        <v>62000</v>
      </c>
      <c r="N43" s="27">
        <v>0</v>
      </c>
      <c r="O43" s="26">
        <v>62000</v>
      </c>
      <c r="P43" s="26">
        <v>62000</v>
      </c>
      <c r="Q43" s="25" t="s">
        <v>71</v>
      </c>
      <c r="R43" s="38" t="s">
        <v>12</v>
      </c>
    </row>
    <row r="44" spans="1:18" ht="15" customHeight="1" x14ac:dyDescent="0.25">
      <c r="A44" s="35">
        <v>29</v>
      </c>
      <c r="B44" s="22" t="s">
        <v>175</v>
      </c>
      <c r="C44" s="22" t="s">
        <v>173</v>
      </c>
      <c r="D44" s="22" t="s">
        <v>37</v>
      </c>
      <c r="E44" s="22" t="s">
        <v>123</v>
      </c>
      <c r="F44" s="22" t="s">
        <v>33</v>
      </c>
      <c r="G44" s="22" t="s">
        <v>124</v>
      </c>
      <c r="H44" s="22" t="s">
        <v>102</v>
      </c>
      <c r="I44" s="22" t="s">
        <v>32</v>
      </c>
      <c r="J44" s="22" t="s">
        <v>38</v>
      </c>
      <c r="K44" s="22" t="s">
        <v>92</v>
      </c>
      <c r="L44" s="22">
        <v>1</v>
      </c>
      <c r="M44" s="23">
        <v>54999</v>
      </c>
      <c r="N44" s="24">
        <v>0.05</v>
      </c>
      <c r="O44" s="23">
        <v>54999</v>
      </c>
      <c r="P44" s="23">
        <v>52249.05</v>
      </c>
      <c r="Q44" s="22" t="s">
        <v>121</v>
      </c>
      <c r="R44" s="37" t="s">
        <v>12</v>
      </c>
    </row>
    <row r="45" spans="1:18" ht="15" customHeight="1" x14ac:dyDescent="0.25">
      <c r="A45" s="36">
        <v>29</v>
      </c>
      <c r="B45" s="25" t="s">
        <v>175</v>
      </c>
      <c r="C45" s="25" t="s">
        <v>173</v>
      </c>
      <c r="D45" s="25" t="s">
        <v>37</v>
      </c>
      <c r="E45" s="25" t="s">
        <v>123</v>
      </c>
      <c r="F45" s="25" t="s">
        <v>33</v>
      </c>
      <c r="G45" s="25" t="s">
        <v>124</v>
      </c>
      <c r="H45" s="25" t="s">
        <v>102</v>
      </c>
      <c r="I45" s="25" t="s">
        <v>133</v>
      </c>
      <c r="J45" s="25" t="s">
        <v>176</v>
      </c>
      <c r="K45" s="25" t="s">
        <v>177</v>
      </c>
      <c r="L45" s="25">
        <v>2</v>
      </c>
      <c r="M45" s="26">
        <v>599</v>
      </c>
      <c r="N45" s="27">
        <v>0.05</v>
      </c>
      <c r="O45" s="26">
        <v>1198</v>
      </c>
      <c r="P45" s="26">
        <v>1138.0999999999999</v>
      </c>
      <c r="Q45" s="25" t="s">
        <v>121</v>
      </c>
      <c r="R45" s="38" t="s">
        <v>12</v>
      </c>
    </row>
    <row r="46" spans="1:18" ht="15" customHeight="1" x14ac:dyDescent="0.25">
      <c r="A46" s="35">
        <v>30</v>
      </c>
      <c r="B46" s="22" t="s">
        <v>178</v>
      </c>
      <c r="C46" s="22" t="s">
        <v>173</v>
      </c>
      <c r="D46" s="22" t="s">
        <v>37</v>
      </c>
      <c r="E46" s="22" t="s">
        <v>100</v>
      </c>
      <c r="F46" s="22" t="s">
        <v>36</v>
      </c>
      <c r="G46" s="22" t="s">
        <v>101</v>
      </c>
      <c r="H46" s="22" t="s">
        <v>102</v>
      </c>
      <c r="I46" s="22" t="s">
        <v>32</v>
      </c>
      <c r="J46" s="22" t="s">
        <v>35</v>
      </c>
      <c r="K46" s="22" t="s">
        <v>79</v>
      </c>
      <c r="L46" s="22">
        <v>1</v>
      </c>
      <c r="M46" s="23">
        <v>62000</v>
      </c>
      <c r="N46" s="24">
        <v>0</v>
      </c>
      <c r="O46" s="23">
        <v>62000</v>
      </c>
      <c r="P46" s="23">
        <v>62000</v>
      </c>
      <c r="Q46" s="22" t="s">
        <v>63</v>
      </c>
      <c r="R46" s="37" t="s">
        <v>12</v>
      </c>
    </row>
    <row r="47" spans="1:18" ht="15" customHeight="1" x14ac:dyDescent="0.25">
      <c r="A47" s="36">
        <v>31</v>
      </c>
      <c r="B47" s="25" t="s">
        <v>179</v>
      </c>
      <c r="C47" s="25" t="s">
        <v>180</v>
      </c>
      <c r="D47" s="25" t="s">
        <v>37</v>
      </c>
      <c r="E47" s="25" t="s">
        <v>66</v>
      </c>
      <c r="F47" s="25" t="s">
        <v>39</v>
      </c>
      <c r="G47" s="25" t="s">
        <v>67</v>
      </c>
      <c r="H47" s="25" t="s">
        <v>61</v>
      </c>
      <c r="I47" s="25" t="s">
        <v>32</v>
      </c>
      <c r="J47" s="25" t="s">
        <v>41</v>
      </c>
      <c r="K47" s="25" t="s">
        <v>150</v>
      </c>
      <c r="L47" s="25">
        <v>1</v>
      </c>
      <c r="M47" s="26">
        <v>24999</v>
      </c>
      <c r="N47" s="27">
        <v>0</v>
      </c>
      <c r="O47" s="26">
        <v>24999</v>
      </c>
      <c r="P47" s="26">
        <v>24999</v>
      </c>
      <c r="Q47" s="25" t="s">
        <v>80</v>
      </c>
      <c r="R47" s="38" t="s">
        <v>12</v>
      </c>
    </row>
    <row r="48" spans="1:18" ht="15" customHeight="1" x14ac:dyDescent="0.25">
      <c r="A48" s="35">
        <v>32</v>
      </c>
      <c r="B48" s="22" t="s">
        <v>181</v>
      </c>
      <c r="C48" s="22" t="s">
        <v>180</v>
      </c>
      <c r="D48" s="22" t="s">
        <v>37</v>
      </c>
      <c r="E48" s="22" t="s">
        <v>76</v>
      </c>
      <c r="F48" s="22" t="s">
        <v>33</v>
      </c>
      <c r="G48" s="22" t="s">
        <v>77</v>
      </c>
      <c r="H48" s="22" t="s">
        <v>78</v>
      </c>
      <c r="I48" s="22" t="s">
        <v>32</v>
      </c>
      <c r="J48" s="22" t="s">
        <v>35</v>
      </c>
      <c r="K48" s="22" t="s">
        <v>79</v>
      </c>
      <c r="L48" s="22">
        <v>1</v>
      </c>
      <c r="M48" s="23">
        <v>62000</v>
      </c>
      <c r="N48" s="24">
        <v>0</v>
      </c>
      <c r="O48" s="23">
        <v>62000</v>
      </c>
      <c r="P48" s="23">
        <v>62000</v>
      </c>
      <c r="Q48" s="22" t="s">
        <v>63</v>
      </c>
      <c r="R48" s="37" t="s">
        <v>12</v>
      </c>
    </row>
    <row r="49" spans="1:18" ht="15" customHeight="1" x14ac:dyDescent="0.25">
      <c r="A49" s="36">
        <v>33</v>
      </c>
      <c r="B49" s="25" t="s">
        <v>182</v>
      </c>
      <c r="C49" s="25" t="s">
        <v>180</v>
      </c>
      <c r="D49" s="25" t="s">
        <v>37</v>
      </c>
      <c r="E49" s="25" t="s">
        <v>82</v>
      </c>
      <c r="F49" s="25" t="s">
        <v>33</v>
      </c>
      <c r="G49" s="25" t="s">
        <v>83</v>
      </c>
      <c r="H49" s="25" t="s">
        <v>84</v>
      </c>
      <c r="I49" s="25" t="s">
        <v>32</v>
      </c>
      <c r="J49" s="25" t="s">
        <v>41</v>
      </c>
      <c r="K49" s="25" t="s">
        <v>150</v>
      </c>
      <c r="L49" s="25">
        <v>1</v>
      </c>
      <c r="M49" s="26">
        <v>24999</v>
      </c>
      <c r="N49" s="27">
        <v>0</v>
      </c>
      <c r="O49" s="26">
        <v>24999</v>
      </c>
      <c r="P49" s="26">
        <v>24999</v>
      </c>
      <c r="Q49" s="25" t="s">
        <v>71</v>
      </c>
      <c r="R49" s="38" t="s">
        <v>12</v>
      </c>
    </row>
    <row r="50" spans="1:18" ht="15" customHeight="1" x14ac:dyDescent="0.25">
      <c r="A50" s="35">
        <v>33</v>
      </c>
      <c r="B50" s="22" t="s">
        <v>182</v>
      </c>
      <c r="C50" s="22" t="s">
        <v>180</v>
      </c>
      <c r="D50" s="22" t="s">
        <v>37</v>
      </c>
      <c r="E50" s="22" t="s">
        <v>82</v>
      </c>
      <c r="F50" s="22" t="s">
        <v>33</v>
      </c>
      <c r="G50" s="22" t="s">
        <v>83</v>
      </c>
      <c r="H50" s="22" t="s">
        <v>84</v>
      </c>
      <c r="I50" s="22" t="s">
        <v>133</v>
      </c>
      <c r="J50" s="22" t="s">
        <v>176</v>
      </c>
      <c r="K50" s="22" t="s">
        <v>177</v>
      </c>
      <c r="L50" s="22">
        <v>1</v>
      </c>
      <c r="M50" s="23">
        <v>599</v>
      </c>
      <c r="N50" s="24">
        <v>0</v>
      </c>
      <c r="O50" s="23">
        <v>599</v>
      </c>
      <c r="P50" s="23">
        <v>599</v>
      </c>
      <c r="Q50" s="22" t="s">
        <v>71</v>
      </c>
      <c r="R50" s="37" t="s">
        <v>12</v>
      </c>
    </row>
    <row r="51" spans="1:18" ht="15" customHeight="1" x14ac:dyDescent="0.25">
      <c r="A51" s="36">
        <v>34</v>
      </c>
      <c r="B51" s="25" t="s">
        <v>183</v>
      </c>
      <c r="C51" s="25" t="s">
        <v>184</v>
      </c>
      <c r="D51" s="25" t="s">
        <v>40</v>
      </c>
      <c r="E51" s="25" t="s">
        <v>59</v>
      </c>
      <c r="F51" s="25" t="s">
        <v>33</v>
      </c>
      <c r="G51" s="25" t="s">
        <v>60</v>
      </c>
      <c r="H51" s="25" t="s">
        <v>61</v>
      </c>
      <c r="I51" s="25" t="s">
        <v>32</v>
      </c>
      <c r="J51" s="25" t="s">
        <v>31</v>
      </c>
      <c r="K51" s="25" t="s">
        <v>62</v>
      </c>
      <c r="L51" s="25">
        <v>1</v>
      </c>
      <c r="M51" s="26">
        <v>79999</v>
      </c>
      <c r="N51" s="27">
        <v>0.1</v>
      </c>
      <c r="O51" s="26">
        <v>79999</v>
      </c>
      <c r="P51" s="26">
        <v>71999.100000000006</v>
      </c>
      <c r="Q51" s="25" t="s">
        <v>63</v>
      </c>
      <c r="R51" s="38" t="s">
        <v>12</v>
      </c>
    </row>
    <row r="52" spans="1:18" ht="15" customHeight="1" x14ac:dyDescent="0.25">
      <c r="A52" s="35">
        <v>34</v>
      </c>
      <c r="B52" s="22" t="s">
        <v>183</v>
      </c>
      <c r="C52" s="22" t="s">
        <v>184</v>
      </c>
      <c r="D52" s="22" t="s">
        <v>40</v>
      </c>
      <c r="E52" s="22" t="s">
        <v>59</v>
      </c>
      <c r="F52" s="22" t="s">
        <v>33</v>
      </c>
      <c r="G52" s="22" t="s">
        <v>60</v>
      </c>
      <c r="H52" s="22" t="s">
        <v>61</v>
      </c>
      <c r="I52" s="22" t="s">
        <v>32</v>
      </c>
      <c r="J52" s="22" t="s">
        <v>42</v>
      </c>
      <c r="K52" s="22" t="s">
        <v>64</v>
      </c>
      <c r="L52" s="22">
        <v>1</v>
      </c>
      <c r="M52" s="23">
        <v>26990</v>
      </c>
      <c r="N52" s="24">
        <v>0.1</v>
      </c>
      <c r="O52" s="23">
        <v>26990</v>
      </c>
      <c r="P52" s="23">
        <v>24291</v>
      </c>
      <c r="Q52" s="22" t="s">
        <v>63</v>
      </c>
      <c r="R52" s="37" t="s">
        <v>12</v>
      </c>
    </row>
    <row r="53" spans="1:18" ht="15" customHeight="1" x14ac:dyDescent="0.25">
      <c r="A53" s="36">
        <v>35</v>
      </c>
      <c r="B53" s="25" t="s">
        <v>185</v>
      </c>
      <c r="C53" s="25" t="s">
        <v>184</v>
      </c>
      <c r="D53" s="25" t="s">
        <v>40</v>
      </c>
      <c r="E53" s="25" t="s">
        <v>94</v>
      </c>
      <c r="F53" s="25" t="s">
        <v>36</v>
      </c>
      <c r="G53" s="25" t="s">
        <v>95</v>
      </c>
      <c r="H53" s="25" t="s">
        <v>95</v>
      </c>
      <c r="I53" s="25" t="s">
        <v>32</v>
      </c>
      <c r="J53" s="25" t="s">
        <v>35</v>
      </c>
      <c r="K53" s="25" t="s">
        <v>79</v>
      </c>
      <c r="L53" s="25">
        <v>1</v>
      </c>
      <c r="M53" s="26">
        <v>62000</v>
      </c>
      <c r="N53" s="27">
        <v>0.1</v>
      </c>
      <c r="O53" s="26">
        <v>62000</v>
      </c>
      <c r="P53" s="26">
        <v>55800</v>
      </c>
      <c r="Q53" s="25" t="s">
        <v>63</v>
      </c>
      <c r="R53" s="38" t="s">
        <v>12</v>
      </c>
    </row>
    <row r="54" spans="1:18" ht="15" customHeight="1" x14ac:dyDescent="0.25">
      <c r="A54" s="35">
        <v>36</v>
      </c>
      <c r="B54" s="22" t="s">
        <v>186</v>
      </c>
      <c r="C54" s="22" t="s">
        <v>184</v>
      </c>
      <c r="D54" s="22" t="s">
        <v>40</v>
      </c>
      <c r="E54" s="22" t="s">
        <v>167</v>
      </c>
      <c r="F54" s="22" t="s">
        <v>33</v>
      </c>
      <c r="G54" s="22" t="s">
        <v>168</v>
      </c>
      <c r="H54" s="22" t="s">
        <v>169</v>
      </c>
      <c r="I54" s="22" t="s">
        <v>32</v>
      </c>
      <c r="J54" s="22" t="s">
        <v>31</v>
      </c>
      <c r="K54" s="22" t="s">
        <v>62</v>
      </c>
      <c r="L54" s="22">
        <v>1</v>
      </c>
      <c r="M54" s="23">
        <v>79999</v>
      </c>
      <c r="N54" s="24">
        <v>0.1</v>
      </c>
      <c r="O54" s="23">
        <v>79999</v>
      </c>
      <c r="P54" s="23">
        <v>71999.100000000006</v>
      </c>
      <c r="Q54" s="22" t="s">
        <v>63</v>
      </c>
      <c r="R54" s="37" t="s">
        <v>12</v>
      </c>
    </row>
    <row r="55" spans="1:18" ht="15" customHeight="1" x14ac:dyDescent="0.25">
      <c r="A55" s="36">
        <v>36</v>
      </c>
      <c r="B55" s="25" t="s">
        <v>186</v>
      </c>
      <c r="C55" s="25" t="s">
        <v>184</v>
      </c>
      <c r="D55" s="25" t="s">
        <v>40</v>
      </c>
      <c r="E55" s="25" t="s">
        <v>167</v>
      </c>
      <c r="F55" s="25" t="s">
        <v>33</v>
      </c>
      <c r="G55" s="25" t="s">
        <v>168</v>
      </c>
      <c r="H55" s="25" t="s">
        <v>169</v>
      </c>
      <c r="I55" s="25" t="s">
        <v>140</v>
      </c>
      <c r="J55" s="25" t="s">
        <v>141</v>
      </c>
      <c r="K55" s="25" t="s">
        <v>142</v>
      </c>
      <c r="L55" s="25">
        <v>2</v>
      </c>
      <c r="M55" s="26">
        <v>799</v>
      </c>
      <c r="N55" s="27">
        <v>0.1</v>
      </c>
      <c r="O55" s="26">
        <v>1598</v>
      </c>
      <c r="P55" s="26">
        <v>1438.2</v>
      </c>
      <c r="Q55" s="25" t="s">
        <v>63</v>
      </c>
      <c r="R55" s="38" t="s">
        <v>12</v>
      </c>
    </row>
    <row r="56" spans="1:18" ht="15" customHeight="1" x14ac:dyDescent="0.25">
      <c r="A56" s="35">
        <v>37</v>
      </c>
      <c r="B56" s="22" t="s">
        <v>187</v>
      </c>
      <c r="C56" s="22" t="s">
        <v>184</v>
      </c>
      <c r="D56" s="22" t="s">
        <v>40</v>
      </c>
      <c r="E56" s="22" t="s">
        <v>123</v>
      </c>
      <c r="F56" s="22" t="s">
        <v>33</v>
      </c>
      <c r="G56" s="22" t="s">
        <v>124</v>
      </c>
      <c r="H56" s="22" t="s">
        <v>102</v>
      </c>
      <c r="I56" s="22" t="s">
        <v>32</v>
      </c>
      <c r="J56" s="22" t="s">
        <v>38</v>
      </c>
      <c r="K56" s="22" t="s">
        <v>92</v>
      </c>
      <c r="L56" s="22">
        <v>1</v>
      </c>
      <c r="M56" s="23">
        <v>54999</v>
      </c>
      <c r="N56" s="24">
        <v>0</v>
      </c>
      <c r="O56" s="23">
        <v>54999</v>
      </c>
      <c r="P56" s="23">
        <v>54999</v>
      </c>
      <c r="Q56" s="22" t="s">
        <v>98</v>
      </c>
      <c r="R56" s="37" t="s">
        <v>12</v>
      </c>
    </row>
    <row r="57" spans="1:18" ht="15" customHeight="1" x14ac:dyDescent="0.25">
      <c r="A57" s="36">
        <v>38</v>
      </c>
      <c r="B57" s="25" t="s">
        <v>188</v>
      </c>
      <c r="C57" s="25" t="s">
        <v>184</v>
      </c>
      <c r="D57" s="25" t="s">
        <v>40</v>
      </c>
      <c r="E57" s="25" t="s">
        <v>82</v>
      </c>
      <c r="F57" s="25" t="s">
        <v>33</v>
      </c>
      <c r="G57" s="25" t="s">
        <v>83</v>
      </c>
      <c r="H57" s="25" t="s">
        <v>84</v>
      </c>
      <c r="I57" s="25" t="s">
        <v>32</v>
      </c>
      <c r="J57" s="25" t="s">
        <v>35</v>
      </c>
      <c r="K57" s="25" t="s">
        <v>79</v>
      </c>
      <c r="L57" s="25">
        <v>1</v>
      </c>
      <c r="M57" s="26">
        <v>62000</v>
      </c>
      <c r="N57" s="27">
        <v>0.05</v>
      </c>
      <c r="O57" s="26">
        <v>62000</v>
      </c>
      <c r="P57" s="26">
        <v>58900</v>
      </c>
      <c r="Q57" s="25" t="s">
        <v>63</v>
      </c>
      <c r="R57" s="38" t="s">
        <v>12</v>
      </c>
    </row>
    <row r="58" spans="1:18" ht="15" customHeight="1" x14ac:dyDescent="0.25">
      <c r="A58" s="35">
        <v>39</v>
      </c>
      <c r="B58" s="22" t="s">
        <v>189</v>
      </c>
      <c r="C58" s="22" t="s">
        <v>184</v>
      </c>
      <c r="D58" s="22" t="s">
        <v>40</v>
      </c>
      <c r="E58" s="22" t="s">
        <v>190</v>
      </c>
      <c r="F58" s="22" t="s">
        <v>36</v>
      </c>
      <c r="G58" s="22" t="s">
        <v>95</v>
      </c>
      <c r="H58" s="22" t="s">
        <v>95</v>
      </c>
      <c r="I58" s="22" t="s">
        <v>110</v>
      </c>
      <c r="J58" s="22" t="s">
        <v>119</v>
      </c>
      <c r="K58" s="22" t="s">
        <v>120</v>
      </c>
      <c r="L58" s="22">
        <v>1</v>
      </c>
      <c r="M58" s="23">
        <v>6999</v>
      </c>
      <c r="N58" s="24">
        <v>0.1</v>
      </c>
      <c r="O58" s="23">
        <v>6999</v>
      </c>
      <c r="P58" s="23">
        <v>6299.1</v>
      </c>
      <c r="Q58" s="22" t="s">
        <v>71</v>
      </c>
      <c r="R58" s="37" t="s">
        <v>12</v>
      </c>
    </row>
    <row r="59" spans="1:18" ht="15" customHeight="1" x14ac:dyDescent="0.25">
      <c r="A59" s="36">
        <v>39</v>
      </c>
      <c r="B59" s="25" t="s">
        <v>189</v>
      </c>
      <c r="C59" s="25" t="s">
        <v>184</v>
      </c>
      <c r="D59" s="25" t="s">
        <v>40</v>
      </c>
      <c r="E59" s="25" t="s">
        <v>190</v>
      </c>
      <c r="F59" s="25" t="s">
        <v>36</v>
      </c>
      <c r="G59" s="25" t="s">
        <v>95</v>
      </c>
      <c r="H59" s="25" t="s">
        <v>95</v>
      </c>
      <c r="I59" s="25" t="s">
        <v>110</v>
      </c>
      <c r="J59" s="25" t="s">
        <v>113</v>
      </c>
      <c r="K59" s="25" t="s">
        <v>114</v>
      </c>
      <c r="L59" s="25">
        <v>2</v>
      </c>
      <c r="M59" s="26">
        <v>799</v>
      </c>
      <c r="N59" s="27">
        <v>0.1</v>
      </c>
      <c r="O59" s="26">
        <v>1598</v>
      </c>
      <c r="P59" s="26">
        <v>1438.2</v>
      </c>
      <c r="Q59" s="25" t="s">
        <v>71</v>
      </c>
      <c r="R59" s="38" t="s">
        <v>12</v>
      </c>
    </row>
    <row r="60" spans="1:18" ht="15" customHeight="1" x14ac:dyDescent="0.25">
      <c r="A60" s="35">
        <v>40</v>
      </c>
      <c r="B60" s="22" t="s">
        <v>191</v>
      </c>
      <c r="C60" s="22" t="s">
        <v>184</v>
      </c>
      <c r="D60" s="22" t="s">
        <v>40</v>
      </c>
      <c r="E60" s="22" t="s">
        <v>100</v>
      </c>
      <c r="F60" s="22" t="s">
        <v>36</v>
      </c>
      <c r="G60" s="22" t="s">
        <v>101</v>
      </c>
      <c r="H60" s="22" t="s">
        <v>102</v>
      </c>
      <c r="I60" s="22" t="s">
        <v>72</v>
      </c>
      <c r="J60" s="22" t="s">
        <v>125</v>
      </c>
      <c r="K60" s="22" t="s">
        <v>126</v>
      </c>
      <c r="L60" s="22">
        <v>3</v>
      </c>
      <c r="M60" s="23">
        <v>599</v>
      </c>
      <c r="N60" s="24">
        <v>0</v>
      </c>
      <c r="O60" s="23">
        <v>1797</v>
      </c>
      <c r="P60" s="23">
        <v>1797</v>
      </c>
      <c r="Q60" s="22" t="s">
        <v>63</v>
      </c>
      <c r="R60" s="37" t="s">
        <v>12</v>
      </c>
    </row>
    <row r="61" spans="1:18" ht="15" customHeight="1" x14ac:dyDescent="0.25">
      <c r="A61" s="36">
        <v>40</v>
      </c>
      <c r="B61" s="25" t="s">
        <v>191</v>
      </c>
      <c r="C61" s="25" t="s">
        <v>184</v>
      </c>
      <c r="D61" s="25" t="s">
        <v>40</v>
      </c>
      <c r="E61" s="25" t="s">
        <v>100</v>
      </c>
      <c r="F61" s="25" t="s">
        <v>36</v>
      </c>
      <c r="G61" s="25" t="s">
        <v>101</v>
      </c>
      <c r="H61" s="25" t="s">
        <v>102</v>
      </c>
      <c r="I61" s="25" t="s">
        <v>72</v>
      </c>
      <c r="J61" s="25" t="s">
        <v>155</v>
      </c>
      <c r="K61" s="25" t="s">
        <v>156</v>
      </c>
      <c r="L61" s="25">
        <v>2</v>
      </c>
      <c r="M61" s="26">
        <v>799</v>
      </c>
      <c r="N61" s="27">
        <v>0</v>
      </c>
      <c r="O61" s="26">
        <v>1598</v>
      </c>
      <c r="P61" s="26">
        <v>1598</v>
      </c>
      <c r="Q61" s="25" t="s">
        <v>63</v>
      </c>
      <c r="R61" s="38" t="s">
        <v>12</v>
      </c>
    </row>
    <row r="62" spans="1:18" ht="15" customHeight="1" x14ac:dyDescent="0.25">
      <c r="A62" s="35">
        <v>41</v>
      </c>
      <c r="B62" s="22" t="s">
        <v>192</v>
      </c>
      <c r="C62" s="22" t="s">
        <v>10</v>
      </c>
      <c r="D62" s="22" t="s">
        <v>40</v>
      </c>
      <c r="E62" s="22" t="s">
        <v>59</v>
      </c>
      <c r="F62" s="22" t="s">
        <v>33</v>
      </c>
      <c r="G62" s="22" t="s">
        <v>60</v>
      </c>
      <c r="H62" s="22" t="s">
        <v>61</v>
      </c>
      <c r="I62" s="22" t="s">
        <v>32</v>
      </c>
      <c r="J62" s="22" t="s">
        <v>31</v>
      </c>
      <c r="K62" s="22" t="s">
        <v>62</v>
      </c>
      <c r="L62" s="22">
        <v>2</v>
      </c>
      <c r="M62" s="23">
        <v>79999</v>
      </c>
      <c r="N62" s="24">
        <v>0.15</v>
      </c>
      <c r="O62" s="23">
        <v>159998</v>
      </c>
      <c r="P62" s="23">
        <v>135998.29999999999</v>
      </c>
      <c r="Q62" s="22" t="s">
        <v>63</v>
      </c>
      <c r="R62" s="37" t="s">
        <v>12</v>
      </c>
    </row>
    <row r="63" spans="1:18" ht="15" customHeight="1" x14ac:dyDescent="0.25">
      <c r="A63" s="36">
        <v>41</v>
      </c>
      <c r="B63" s="25" t="s">
        <v>192</v>
      </c>
      <c r="C63" s="25" t="s">
        <v>10</v>
      </c>
      <c r="D63" s="25" t="s">
        <v>40</v>
      </c>
      <c r="E63" s="25" t="s">
        <v>59</v>
      </c>
      <c r="F63" s="25" t="s">
        <v>33</v>
      </c>
      <c r="G63" s="25" t="s">
        <v>60</v>
      </c>
      <c r="H63" s="25" t="s">
        <v>61</v>
      </c>
      <c r="I63" s="25" t="s">
        <v>32</v>
      </c>
      <c r="J63" s="25" t="s">
        <v>35</v>
      </c>
      <c r="K63" s="25" t="s">
        <v>79</v>
      </c>
      <c r="L63" s="25">
        <v>1</v>
      </c>
      <c r="M63" s="26">
        <v>62000</v>
      </c>
      <c r="N63" s="27">
        <v>0.15</v>
      </c>
      <c r="O63" s="26">
        <v>62000</v>
      </c>
      <c r="P63" s="26">
        <v>52700</v>
      </c>
      <c r="Q63" s="25" t="s">
        <v>63</v>
      </c>
      <c r="R63" s="38" t="s">
        <v>12</v>
      </c>
    </row>
    <row r="64" spans="1:18" ht="15" customHeight="1" x14ac:dyDescent="0.25">
      <c r="A64" s="35">
        <v>42</v>
      </c>
      <c r="B64" s="22" t="s">
        <v>193</v>
      </c>
      <c r="C64" s="22" t="s">
        <v>10</v>
      </c>
      <c r="D64" s="22" t="s">
        <v>40</v>
      </c>
      <c r="E64" s="22" t="s">
        <v>89</v>
      </c>
      <c r="F64" s="22" t="s">
        <v>36</v>
      </c>
      <c r="G64" s="22" t="s">
        <v>90</v>
      </c>
      <c r="H64" s="22" t="s">
        <v>91</v>
      </c>
      <c r="I64" s="22" t="s">
        <v>32</v>
      </c>
      <c r="J64" s="22" t="s">
        <v>38</v>
      </c>
      <c r="K64" s="22" t="s">
        <v>92</v>
      </c>
      <c r="L64" s="22">
        <v>1</v>
      </c>
      <c r="M64" s="23">
        <v>54999</v>
      </c>
      <c r="N64" s="24">
        <v>0.15</v>
      </c>
      <c r="O64" s="23">
        <v>54999</v>
      </c>
      <c r="P64" s="23">
        <v>46749.15</v>
      </c>
      <c r="Q64" s="22" t="s">
        <v>63</v>
      </c>
      <c r="R64" s="37" t="s">
        <v>12</v>
      </c>
    </row>
    <row r="65" spans="1:18" ht="15" customHeight="1" x14ac:dyDescent="0.25">
      <c r="A65" s="36">
        <v>42</v>
      </c>
      <c r="B65" s="25" t="s">
        <v>193</v>
      </c>
      <c r="C65" s="25" t="s">
        <v>10</v>
      </c>
      <c r="D65" s="25" t="s">
        <v>40</v>
      </c>
      <c r="E65" s="25" t="s">
        <v>89</v>
      </c>
      <c r="F65" s="25" t="s">
        <v>36</v>
      </c>
      <c r="G65" s="25" t="s">
        <v>90</v>
      </c>
      <c r="H65" s="25" t="s">
        <v>91</v>
      </c>
      <c r="I65" s="25" t="s">
        <v>32</v>
      </c>
      <c r="J65" s="25" t="s">
        <v>42</v>
      </c>
      <c r="K65" s="25" t="s">
        <v>64</v>
      </c>
      <c r="L65" s="25">
        <v>1</v>
      </c>
      <c r="M65" s="26">
        <v>26990</v>
      </c>
      <c r="N65" s="27">
        <v>0.15</v>
      </c>
      <c r="O65" s="26">
        <v>26990</v>
      </c>
      <c r="P65" s="26">
        <v>22941.5</v>
      </c>
      <c r="Q65" s="25" t="s">
        <v>63</v>
      </c>
      <c r="R65" s="38" t="s">
        <v>12</v>
      </c>
    </row>
    <row r="66" spans="1:18" ht="15" customHeight="1" x14ac:dyDescent="0.25">
      <c r="A66" s="35">
        <v>43</v>
      </c>
      <c r="B66" s="22" t="s">
        <v>194</v>
      </c>
      <c r="C66" s="22" t="s">
        <v>10</v>
      </c>
      <c r="D66" s="22" t="s">
        <v>40</v>
      </c>
      <c r="E66" s="22" t="s">
        <v>76</v>
      </c>
      <c r="F66" s="22" t="s">
        <v>33</v>
      </c>
      <c r="G66" s="22" t="s">
        <v>77</v>
      </c>
      <c r="H66" s="22" t="s">
        <v>78</v>
      </c>
      <c r="I66" s="22" t="s">
        <v>32</v>
      </c>
      <c r="J66" s="22" t="s">
        <v>35</v>
      </c>
      <c r="K66" s="22" t="s">
        <v>79</v>
      </c>
      <c r="L66" s="22">
        <v>1</v>
      </c>
      <c r="M66" s="23">
        <v>62000</v>
      </c>
      <c r="N66" s="24">
        <v>0.1</v>
      </c>
      <c r="O66" s="23">
        <v>62000</v>
      </c>
      <c r="P66" s="23">
        <v>55800</v>
      </c>
      <c r="Q66" s="22" t="s">
        <v>80</v>
      </c>
      <c r="R66" s="37" t="s">
        <v>12</v>
      </c>
    </row>
    <row r="67" spans="1:18" ht="15" customHeight="1" x14ac:dyDescent="0.25">
      <c r="A67" s="36">
        <v>44</v>
      </c>
      <c r="B67" s="25" t="s">
        <v>195</v>
      </c>
      <c r="C67" s="25" t="s">
        <v>10</v>
      </c>
      <c r="D67" s="25" t="s">
        <v>40</v>
      </c>
      <c r="E67" s="25" t="s">
        <v>107</v>
      </c>
      <c r="F67" s="25" t="s">
        <v>36</v>
      </c>
      <c r="G67" s="25" t="s">
        <v>108</v>
      </c>
      <c r="H67" s="25" t="s">
        <v>109</v>
      </c>
      <c r="I67" s="25" t="s">
        <v>32</v>
      </c>
      <c r="J67" s="25" t="s">
        <v>31</v>
      </c>
      <c r="K67" s="25" t="s">
        <v>62</v>
      </c>
      <c r="L67" s="25">
        <v>1</v>
      </c>
      <c r="M67" s="26">
        <v>79999</v>
      </c>
      <c r="N67" s="27">
        <v>0.1</v>
      </c>
      <c r="O67" s="26">
        <v>79999</v>
      </c>
      <c r="P67" s="26">
        <v>71999.100000000006</v>
      </c>
      <c r="Q67" s="25" t="s">
        <v>63</v>
      </c>
      <c r="R67" s="38" t="s">
        <v>12</v>
      </c>
    </row>
    <row r="68" spans="1:18" ht="15" customHeight="1" x14ac:dyDescent="0.25">
      <c r="A68" s="35">
        <v>44</v>
      </c>
      <c r="B68" s="22" t="s">
        <v>195</v>
      </c>
      <c r="C68" s="22" t="s">
        <v>10</v>
      </c>
      <c r="D68" s="22" t="s">
        <v>40</v>
      </c>
      <c r="E68" s="22" t="s">
        <v>107</v>
      </c>
      <c r="F68" s="22" t="s">
        <v>36</v>
      </c>
      <c r="G68" s="22" t="s">
        <v>108</v>
      </c>
      <c r="H68" s="22" t="s">
        <v>109</v>
      </c>
      <c r="I68" s="22" t="s">
        <v>68</v>
      </c>
      <c r="J68" s="22" t="s">
        <v>85</v>
      </c>
      <c r="K68" s="22" t="s">
        <v>86</v>
      </c>
      <c r="L68" s="22">
        <v>2</v>
      </c>
      <c r="M68" s="23">
        <v>8995</v>
      </c>
      <c r="N68" s="24">
        <v>0.1</v>
      </c>
      <c r="O68" s="23">
        <v>17990</v>
      </c>
      <c r="P68" s="23">
        <v>16191</v>
      </c>
      <c r="Q68" s="22" t="s">
        <v>63</v>
      </c>
      <c r="R68" s="37" t="s">
        <v>12</v>
      </c>
    </row>
    <row r="69" spans="1:18" ht="15" customHeight="1" x14ac:dyDescent="0.25">
      <c r="A69" s="36">
        <v>45</v>
      </c>
      <c r="B69" s="25" t="s">
        <v>196</v>
      </c>
      <c r="C69" s="25" t="s">
        <v>10</v>
      </c>
      <c r="D69" s="25" t="s">
        <v>40</v>
      </c>
      <c r="E69" s="25" t="s">
        <v>167</v>
      </c>
      <c r="F69" s="25" t="s">
        <v>33</v>
      </c>
      <c r="G69" s="25" t="s">
        <v>168</v>
      </c>
      <c r="H69" s="25" t="s">
        <v>169</v>
      </c>
      <c r="I69" s="25" t="s">
        <v>32</v>
      </c>
      <c r="J69" s="25" t="s">
        <v>31</v>
      </c>
      <c r="K69" s="25" t="s">
        <v>62</v>
      </c>
      <c r="L69" s="25">
        <v>1</v>
      </c>
      <c r="M69" s="26">
        <v>79999</v>
      </c>
      <c r="N69" s="27">
        <v>0.15</v>
      </c>
      <c r="O69" s="26">
        <v>79999</v>
      </c>
      <c r="P69" s="26">
        <v>67999.149999999994</v>
      </c>
      <c r="Q69" s="25" t="s">
        <v>63</v>
      </c>
      <c r="R69" s="38" t="s">
        <v>12</v>
      </c>
    </row>
    <row r="70" spans="1:18" ht="15" customHeight="1" x14ac:dyDescent="0.25">
      <c r="A70" s="35">
        <v>45</v>
      </c>
      <c r="B70" s="22" t="s">
        <v>196</v>
      </c>
      <c r="C70" s="22" t="s">
        <v>10</v>
      </c>
      <c r="D70" s="22" t="s">
        <v>40</v>
      </c>
      <c r="E70" s="22" t="s">
        <v>167</v>
      </c>
      <c r="F70" s="22" t="s">
        <v>33</v>
      </c>
      <c r="G70" s="22" t="s">
        <v>168</v>
      </c>
      <c r="H70" s="22" t="s">
        <v>169</v>
      </c>
      <c r="I70" s="22" t="s">
        <v>32</v>
      </c>
      <c r="J70" s="22" t="s">
        <v>38</v>
      </c>
      <c r="K70" s="22" t="s">
        <v>92</v>
      </c>
      <c r="L70" s="22">
        <v>1</v>
      </c>
      <c r="M70" s="23">
        <v>54999</v>
      </c>
      <c r="N70" s="24">
        <v>0.15</v>
      </c>
      <c r="O70" s="23">
        <v>54999</v>
      </c>
      <c r="P70" s="23">
        <v>46749.15</v>
      </c>
      <c r="Q70" s="22" t="s">
        <v>63</v>
      </c>
      <c r="R70" s="37" t="s">
        <v>12</v>
      </c>
    </row>
    <row r="71" spans="1:18" ht="15" customHeight="1" x14ac:dyDescent="0.25">
      <c r="A71" s="36">
        <v>46</v>
      </c>
      <c r="B71" s="25" t="s">
        <v>197</v>
      </c>
      <c r="C71" s="25" t="s">
        <v>10</v>
      </c>
      <c r="D71" s="25" t="s">
        <v>40</v>
      </c>
      <c r="E71" s="25" t="s">
        <v>198</v>
      </c>
      <c r="F71" s="25" t="s">
        <v>36</v>
      </c>
      <c r="G71" s="25" t="s">
        <v>83</v>
      </c>
      <c r="H71" s="25" t="s">
        <v>84</v>
      </c>
      <c r="I71" s="25" t="s">
        <v>110</v>
      </c>
      <c r="J71" s="25" t="s">
        <v>119</v>
      </c>
      <c r="K71" s="25" t="s">
        <v>120</v>
      </c>
      <c r="L71" s="25">
        <v>1</v>
      </c>
      <c r="M71" s="26">
        <v>6999</v>
      </c>
      <c r="N71" s="27">
        <v>0.1</v>
      </c>
      <c r="O71" s="26">
        <v>6999</v>
      </c>
      <c r="P71" s="26">
        <v>6299.1</v>
      </c>
      <c r="Q71" s="25" t="s">
        <v>71</v>
      </c>
      <c r="R71" s="38" t="s">
        <v>12</v>
      </c>
    </row>
    <row r="72" spans="1:18" ht="15" customHeight="1" x14ac:dyDescent="0.25">
      <c r="A72" s="35">
        <v>46</v>
      </c>
      <c r="B72" s="22" t="s">
        <v>197</v>
      </c>
      <c r="C72" s="22" t="s">
        <v>10</v>
      </c>
      <c r="D72" s="22" t="s">
        <v>40</v>
      </c>
      <c r="E72" s="22" t="s">
        <v>198</v>
      </c>
      <c r="F72" s="22" t="s">
        <v>36</v>
      </c>
      <c r="G72" s="22" t="s">
        <v>83</v>
      </c>
      <c r="H72" s="22" t="s">
        <v>84</v>
      </c>
      <c r="I72" s="22" t="s">
        <v>110</v>
      </c>
      <c r="J72" s="22" t="s">
        <v>131</v>
      </c>
      <c r="K72" s="22" t="s">
        <v>132</v>
      </c>
      <c r="L72" s="22">
        <v>1</v>
      </c>
      <c r="M72" s="23">
        <v>2499</v>
      </c>
      <c r="N72" s="24">
        <v>0.1</v>
      </c>
      <c r="O72" s="23">
        <v>2499</v>
      </c>
      <c r="P72" s="23">
        <v>2249.1</v>
      </c>
      <c r="Q72" s="22" t="s">
        <v>71</v>
      </c>
      <c r="R72" s="37" t="s">
        <v>12</v>
      </c>
    </row>
    <row r="73" spans="1:18" ht="15" customHeight="1" x14ac:dyDescent="0.25">
      <c r="A73" s="36">
        <v>47</v>
      </c>
      <c r="B73" s="25" t="s">
        <v>199</v>
      </c>
      <c r="C73" s="25" t="s">
        <v>10</v>
      </c>
      <c r="D73" s="25" t="s">
        <v>40</v>
      </c>
      <c r="E73" s="25" t="s">
        <v>123</v>
      </c>
      <c r="F73" s="25" t="s">
        <v>33</v>
      </c>
      <c r="G73" s="25" t="s">
        <v>124</v>
      </c>
      <c r="H73" s="25" t="s">
        <v>102</v>
      </c>
      <c r="I73" s="25" t="s">
        <v>32</v>
      </c>
      <c r="J73" s="25" t="s">
        <v>35</v>
      </c>
      <c r="K73" s="25" t="s">
        <v>79</v>
      </c>
      <c r="L73" s="25">
        <v>1</v>
      </c>
      <c r="M73" s="26">
        <v>62000</v>
      </c>
      <c r="N73" s="27">
        <v>0.2</v>
      </c>
      <c r="O73" s="26">
        <v>62000</v>
      </c>
      <c r="P73" s="26">
        <v>49600</v>
      </c>
      <c r="Q73" s="25" t="s">
        <v>63</v>
      </c>
      <c r="R73" s="38" t="s">
        <v>12</v>
      </c>
    </row>
    <row r="74" spans="1:18" ht="15" customHeight="1" x14ac:dyDescent="0.25">
      <c r="A74" s="35">
        <v>47</v>
      </c>
      <c r="B74" s="22" t="s">
        <v>199</v>
      </c>
      <c r="C74" s="22" t="s">
        <v>10</v>
      </c>
      <c r="D74" s="22" t="s">
        <v>40</v>
      </c>
      <c r="E74" s="22" t="s">
        <v>123</v>
      </c>
      <c r="F74" s="22" t="s">
        <v>33</v>
      </c>
      <c r="G74" s="22" t="s">
        <v>124</v>
      </c>
      <c r="H74" s="22" t="s">
        <v>102</v>
      </c>
      <c r="I74" s="22" t="s">
        <v>68</v>
      </c>
      <c r="J74" s="22" t="s">
        <v>69</v>
      </c>
      <c r="K74" s="22" t="s">
        <v>70</v>
      </c>
      <c r="L74" s="22">
        <v>2</v>
      </c>
      <c r="M74" s="23">
        <v>3499</v>
      </c>
      <c r="N74" s="24">
        <v>0.2</v>
      </c>
      <c r="O74" s="23">
        <v>6998</v>
      </c>
      <c r="P74" s="23">
        <v>5598.4</v>
      </c>
      <c r="Q74" s="22" t="s">
        <v>63</v>
      </c>
      <c r="R74" s="37" t="s">
        <v>12</v>
      </c>
    </row>
    <row r="75" spans="1:18" ht="15" customHeight="1" x14ac:dyDescent="0.25">
      <c r="A75" s="36">
        <v>48</v>
      </c>
      <c r="B75" s="25" t="s">
        <v>200</v>
      </c>
      <c r="C75" s="25" t="s">
        <v>10</v>
      </c>
      <c r="D75" s="25" t="s">
        <v>40</v>
      </c>
      <c r="E75" s="25" t="s">
        <v>201</v>
      </c>
      <c r="F75" s="25" t="s">
        <v>39</v>
      </c>
      <c r="G75" s="25" t="s">
        <v>202</v>
      </c>
      <c r="H75" s="25" t="s">
        <v>91</v>
      </c>
      <c r="I75" s="25" t="s">
        <v>68</v>
      </c>
      <c r="J75" s="25" t="s">
        <v>203</v>
      </c>
      <c r="K75" s="25" t="s">
        <v>204</v>
      </c>
      <c r="L75" s="25">
        <v>2</v>
      </c>
      <c r="M75" s="26">
        <v>2499</v>
      </c>
      <c r="N75" s="27">
        <v>0.1</v>
      </c>
      <c r="O75" s="26">
        <v>4998</v>
      </c>
      <c r="P75" s="26">
        <v>4498.2</v>
      </c>
      <c r="Q75" s="25" t="s">
        <v>98</v>
      </c>
      <c r="R75" s="38" t="s">
        <v>12</v>
      </c>
    </row>
    <row r="76" spans="1:18" ht="15" customHeight="1" x14ac:dyDescent="0.25">
      <c r="A76" s="35">
        <v>48</v>
      </c>
      <c r="B76" s="22" t="s">
        <v>200</v>
      </c>
      <c r="C76" s="22" t="s">
        <v>10</v>
      </c>
      <c r="D76" s="22" t="s">
        <v>40</v>
      </c>
      <c r="E76" s="22" t="s">
        <v>201</v>
      </c>
      <c r="F76" s="22" t="s">
        <v>39</v>
      </c>
      <c r="G76" s="22" t="s">
        <v>202</v>
      </c>
      <c r="H76" s="22" t="s">
        <v>91</v>
      </c>
      <c r="I76" s="22" t="s">
        <v>133</v>
      </c>
      <c r="J76" s="22" t="s">
        <v>205</v>
      </c>
      <c r="K76" s="22" t="s">
        <v>206</v>
      </c>
      <c r="L76" s="22">
        <v>4</v>
      </c>
      <c r="M76" s="23">
        <v>175</v>
      </c>
      <c r="N76" s="24">
        <v>0.1</v>
      </c>
      <c r="O76" s="23">
        <v>700</v>
      </c>
      <c r="P76" s="23">
        <v>630</v>
      </c>
      <c r="Q76" s="22" t="s">
        <v>98</v>
      </c>
      <c r="R76" s="37" t="s">
        <v>12</v>
      </c>
    </row>
    <row r="77" spans="1:18" ht="15" customHeight="1" x14ac:dyDescent="0.25">
      <c r="A77" s="36">
        <v>49</v>
      </c>
      <c r="B77" s="25" t="s">
        <v>207</v>
      </c>
      <c r="C77" s="25" t="s">
        <v>10</v>
      </c>
      <c r="D77" s="25" t="s">
        <v>40</v>
      </c>
      <c r="E77" s="25" t="s">
        <v>208</v>
      </c>
      <c r="F77" s="25" t="s">
        <v>39</v>
      </c>
      <c r="G77" s="25" t="s">
        <v>108</v>
      </c>
      <c r="H77" s="25" t="s">
        <v>109</v>
      </c>
      <c r="I77" s="25" t="s">
        <v>140</v>
      </c>
      <c r="J77" s="25" t="s">
        <v>209</v>
      </c>
      <c r="K77" s="25" t="s">
        <v>210</v>
      </c>
      <c r="L77" s="25">
        <v>1</v>
      </c>
      <c r="M77" s="26">
        <v>1299</v>
      </c>
      <c r="N77" s="27">
        <v>0</v>
      </c>
      <c r="O77" s="26">
        <v>1299</v>
      </c>
      <c r="P77" s="26">
        <v>1299</v>
      </c>
      <c r="Q77" s="25" t="s">
        <v>71</v>
      </c>
      <c r="R77" s="38" t="s">
        <v>12</v>
      </c>
    </row>
    <row r="78" spans="1:18" ht="15" customHeight="1" x14ac:dyDescent="0.25">
      <c r="A78" s="35">
        <v>49</v>
      </c>
      <c r="B78" s="22" t="s">
        <v>207</v>
      </c>
      <c r="C78" s="22" t="s">
        <v>10</v>
      </c>
      <c r="D78" s="22" t="s">
        <v>40</v>
      </c>
      <c r="E78" s="22" t="s">
        <v>208</v>
      </c>
      <c r="F78" s="22" t="s">
        <v>39</v>
      </c>
      <c r="G78" s="22" t="s">
        <v>108</v>
      </c>
      <c r="H78" s="22" t="s">
        <v>109</v>
      </c>
      <c r="I78" s="22" t="s">
        <v>140</v>
      </c>
      <c r="J78" s="22" t="s">
        <v>141</v>
      </c>
      <c r="K78" s="22" t="s">
        <v>142</v>
      </c>
      <c r="L78" s="22">
        <v>2</v>
      </c>
      <c r="M78" s="23">
        <v>799</v>
      </c>
      <c r="N78" s="24">
        <v>0</v>
      </c>
      <c r="O78" s="23">
        <v>1598</v>
      </c>
      <c r="P78" s="23">
        <v>1598</v>
      </c>
      <c r="Q78" s="22" t="s">
        <v>71</v>
      </c>
      <c r="R78" s="37" t="s">
        <v>12</v>
      </c>
    </row>
    <row r="79" spans="1:18" ht="15" customHeight="1" x14ac:dyDescent="0.25">
      <c r="A79" s="36">
        <v>50</v>
      </c>
      <c r="B79" s="25" t="s">
        <v>211</v>
      </c>
      <c r="C79" s="25" t="s">
        <v>10</v>
      </c>
      <c r="D79" s="25" t="s">
        <v>40</v>
      </c>
      <c r="E79" s="25" t="s">
        <v>212</v>
      </c>
      <c r="F79" s="25" t="s">
        <v>36</v>
      </c>
      <c r="G79" s="25" t="s">
        <v>213</v>
      </c>
      <c r="H79" s="25" t="s">
        <v>102</v>
      </c>
      <c r="I79" s="25" t="s">
        <v>32</v>
      </c>
      <c r="J79" s="25" t="s">
        <v>41</v>
      </c>
      <c r="K79" s="25" t="s">
        <v>150</v>
      </c>
      <c r="L79" s="25">
        <v>1</v>
      </c>
      <c r="M79" s="26">
        <v>24999</v>
      </c>
      <c r="N79" s="27">
        <v>0.1</v>
      </c>
      <c r="O79" s="26">
        <v>24999</v>
      </c>
      <c r="P79" s="26">
        <v>22499.1</v>
      </c>
      <c r="Q79" s="25" t="s">
        <v>63</v>
      </c>
      <c r="R79" s="38" t="s">
        <v>12</v>
      </c>
    </row>
    <row r="80" spans="1:18" ht="15" customHeight="1" x14ac:dyDescent="0.25">
      <c r="A80" s="35">
        <v>50</v>
      </c>
      <c r="B80" s="22" t="s">
        <v>211</v>
      </c>
      <c r="C80" s="22" t="s">
        <v>10</v>
      </c>
      <c r="D80" s="22" t="s">
        <v>40</v>
      </c>
      <c r="E80" s="22" t="s">
        <v>212</v>
      </c>
      <c r="F80" s="22" t="s">
        <v>36</v>
      </c>
      <c r="G80" s="22" t="s">
        <v>213</v>
      </c>
      <c r="H80" s="22" t="s">
        <v>102</v>
      </c>
      <c r="I80" s="22" t="s">
        <v>72</v>
      </c>
      <c r="J80" s="22" t="s">
        <v>155</v>
      </c>
      <c r="K80" s="22" t="s">
        <v>156</v>
      </c>
      <c r="L80" s="22">
        <v>2</v>
      </c>
      <c r="M80" s="23">
        <v>799</v>
      </c>
      <c r="N80" s="24">
        <v>0.1</v>
      </c>
      <c r="O80" s="23">
        <v>1598</v>
      </c>
      <c r="P80" s="23">
        <v>1438.2</v>
      </c>
      <c r="Q80" s="22" t="s">
        <v>63</v>
      </c>
      <c r="R80" s="37" t="s">
        <v>12</v>
      </c>
    </row>
    <row r="81" spans="1:18" ht="15" customHeight="1" x14ac:dyDescent="0.25">
      <c r="A81" s="36">
        <v>51</v>
      </c>
      <c r="B81" s="25" t="s">
        <v>214</v>
      </c>
      <c r="C81" s="25" t="s">
        <v>10</v>
      </c>
      <c r="D81" s="25" t="s">
        <v>40</v>
      </c>
      <c r="E81" s="25" t="s">
        <v>215</v>
      </c>
      <c r="F81" s="25" t="s">
        <v>39</v>
      </c>
      <c r="G81" s="25" t="s">
        <v>60</v>
      </c>
      <c r="H81" s="25" t="s">
        <v>61</v>
      </c>
      <c r="I81" s="25" t="s">
        <v>133</v>
      </c>
      <c r="J81" s="25" t="s">
        <v>176</v>
      </c>
      <c r="K81" s="25" t="s">
        <v>177</v>
      </c>
      <c r="L81" s="25">
        <v>2</v>
      </c>
      <c r="M81" s="26">
        <v>599</v>
      </c>
      <c r="N81" s="27">
        <v>0.05</v>
      </c>
      <c r="O81" s="26">
        <v>1198</v>
      </c>
      <c r="P81" s="26">
        <v>1138.0999999999999</v>
      </c>
      <c r="Q81" s="25" t="s">
        <v>121</v>
      </c>
      <c r="R81" s="38" t="s">
        <v>12</v>
      </c>
    </row>
    <row r="82" spans="1:18" ht="15" customHeight="1" x14ac:dyDescent="0.25">
      <c r="A82" s="35">
        <v>51</v>
      </c>
      <c r="B82" s="22" t="s">
        <v>214</v>
      </c>
      <c r="C82" s="22" t="s">
        <v>10</v>
      </c>
      <c r="D82" s="22" t="s">
        <v>40</v>
      </c>
      <c r="E82" s="22" t="s">
        <v>215</v>
      </c>
      <c r="F82" s="22" t="s">
        <v>39</v>
      </c>
      <c r="G82" s="22" t="s">
        <v>60</v>
      </c>
      <c r="H82" s="22" t="s">
        <v>61</v>
      </c>
      <c r="I82" s="22" t="s">
        <v>133</v>
      </c>
      <c r="J82" s="22" t="s">
        <v>216</v>
      </c>
      <c r="K82" s="22" t="s">
        <v>217</v>
      </c>
      <c r="L82" s="22">
        <v>2</v>
      </c>
      <c r="M82" s="23">
        <v>399</v>
      </c>
      <c r="N82" s="24">
        <v>0.05</v>
      </c>
      <c r="O82" s="23">
        <v>798</v>
      </c>
      <c r="P82" s="23">
        <v>758.1</v>
      </c>
      <c r="Q82" s="22" t="s">
        <v>121</v>
      </c>
      <c r="R82" s="37" t="s">
        <v>12</v>
      </c>
    </row>
    <row r="83" spans="1:18" ht="15" customHeight="1" x14ac:dyDescent="0.25">
      <c r="A83" s="36">
        <v>52</v>
      </c>
      <c r="B83" s="25" t="s">
        <v>218</v>
      </c>
      <c r="C83" s="25" t="s">
        <v>219</v>
      </c>
      <c r="D83" s="25" t="s">
        <v>40</v>
      </c>
      <c r="E83" s="25" t="s">
        <v>59</v>
      </c>
      <c r="F83" s="25" t="s">
        <v>33</v>
      </c>
      <c r="G83" s="25" t="s">
        <v>60</v>
      </c>
      <c r="H83" s="25" t="s">
        <v>61</v>
      </c>
      <c r="I83" s="25" t="s">
        <v>32</v>
      </c>
      <c r="J83" s="25" t="s">
        <v>31</v>
      </c>
      <c r="K83" s="25" t="s">
        <v>62</v>
      </c>
      <c r="L83" s="25">
        <v>1</v>
      </c>
      <c r="M83" s="26">
        <v>79999</v>
      </c>
      <c r="N83" s="27">
        <v>0.1</v>
      </c>
      <c r="O83" s="26">
        <v>79999</v>
      </c>
      <c r="P83" s="26">
        <v>71999.100000000006</v>
      </c>
      <c r="Q83" s="25" t="s">
        <v>63</v>
      </c>
      <c r="R83" s="38" t="s">
        <v>12</v>
      </c>
    </row>
    <row r="84" spans="1:18" ht="15" customHeight="1" x14ac:dyDescent="0.25">
      <c r="A84" s="35">
        <v>53</v>
      </c>
      <c r="B84" s="22" t="s">
        <v>220</v>
      </c>
      <c r="C84" s="22" t="s">
        <v>219</v>
      </c>
      <c r="D84" s="22" t="s">
        <v>40</v>
      </c>
      <c r="E84" s="22" t="s">
        <v>76</v>
      </c>
      <c r="F84" s="22" t="s">
        <v>33</v>
      </c>
      <c r="G84" s="22" t="s">
        <v>77</v>
      </c>
      <c r="H84" s="22" t="s">
        <v>78</v>
      </c>
      <c r="I84" s="22" t="s">
        <v>32</v>
      </c>
      <c r="J84" s="22" t="s">
        <v>38</v>
      </c>
      <c r="K84" s="22" t="s">
        <v>92</v>
      </c>
      <c r="L84" s="22">
        <v>1</v>
      </c>
      <c r="M84" s="23">
        <v>54999</v>
      </c>
      <c r="N84" s="24">
        <v>0.05</v>
      </c>
      <c r="O84" s="23">
        <v>54999</v>
      </c>
      <c r="P84" s="23">
        <v>52249.05</v>
      </c>
      <c r="Q84" s="22" t="s">
        <v>80</v>
      </c>
      <c r="R84" s="37" t="s">
        <v>12</v>
      </c>
    </row>
    <row r="85" spans="1:18" ht="15" customHeight="1" x14ac:dyDescent="0.25">
      <c r="A85" s="36">
        <v>53</v>
      </c>
      <c r="B85" s="25" t="s">
        <v>220</v>
      </c>
      <c r="C85" s="25" t="s">
        <v>219</v>
      </c>
      <c r="D85" s="25" t="s">
        <v>40</v>
      </c>
      <c r="E85" s="25" t="s">
        <v>76</v>
      </c>
      <c r="F85" s="25" t="s">
        <v>33</v>
      </c>
      <c r="G85" s="25" t="s">
        <v>77</v>
      </c>
      <c r="H85" s="25" t="s">
        <v>78</v>
      </c>
      <c r="I85" s="25" t="s">
        <v>32</v>
      </c>
      <c r="J85" s="25" t="s">
        <v>35</v>
      </c>
      <c r="K85" s="25" t="s">
        <v>79</v>
      </c>
      <c r="L85" s="25">
        <v>1</v>
      </c>
      <c r="M85" s="26">
        <v>62000</v>
      </c>
      <c r="N85" s="27">
        <v>0.05</v>
      </c>
      <c r="O85" s="26">
        <v>62000</v>
      </c>
      <c r="P85" s="26">
        <v>58900</v>
      </c>
      <c r="Q85" s="25" t="s">
        <v>80</v>
      </c>
      <c r="R85" s="38" t="s">
        <v>12</v>
      </c>
    </row>
    <row r="86" spans="1:18" ht="15" customHeight="1" x14ac:dyDescent="0.25">
      <c r="A86" s="35">
        <v>54</v>
      </c>
      <c r="B86" s="22" t="s">
        <v>221</v>
      </c>
      <c r="C86" s="22" t="s">
        <v>219</v>
      </c>
      <c r="D86" s="22" t="s">
        <v>40</v>
      </c>
      <c r="E86" s="22" t="s">
        <v>94</v>
      </c>
      <c r="F86" s="22" t="s">
        <v>36</v>
      </c>
      <c r="G86" s="22" t="s">
        <v>95</v>
      </c>
      <c r="H86" s="22" t="s">
        <v>95</v>
      </c>
      <c r="I86" s="22" t="s">
        <v>32</v>
      </c>
      <c r="J86" s="22" t="s">
        <v>35</v>
      </c>
      <c r="K86" s="22" t="s">
        <v>79</v>
      </c>
      <c r="L86" s="22">
        <v>1</v>
      </c>
      <c r="M86" s="23">
        <v>62000</v>
      </c>
      <c r="N86" s="24">
        <v>0.1</v>
      </c>
      <c r="O86" s="23">
        <v>62000</v>
      </c>
      <c r="P86" s="23">
        <v>55800</v>
      </c>
      <c r="Q86" s="22" t="s">
        <v>63</v>
      </c>
      <c r="R86" s="37" t="s">
        <v>12</v>
      </c>
    </row>
    <row r="87" spans="1:18" ht="15" customHeight="1" x14ac:dyDescent="0.25">
      <c r="A87" s="36">
        <v>55</v>
      </c>
      <c r="B87" s="25" t="s">
        <v>222</v>
      </c>
      <c r="C87" s="25" t="s">
        <v>219</v>
      </c>
      <c r="D87" s="25" t="s">
        <v>40</v>
      </c>
      <c r="E87" s="25" t="s">
        <v>167</v>
      </c>
      <c r="F87" s="25" t="s">
        <v>33</v>
      </c>
      <c r="G87" s="25" t="s">
        <v>168</v>
      </c>
      <c r="H87" s="25" t="s">
        <v>169</v>
      </c>
      <c r="I87" s="25" t="s">
        <v>32</v>
      </c>
      <c r="J87" s="25" t="s">
        <v>38</v>
      </c>
      <c r="K87" s="25" t="s">
        <v>92</v>
      </c>
      <c r="L87" s="25">
        <v>1</v>
      </c>
      <c r="M87" s="26">
        <v>54999</v>
      </c>
      <c r="N87" s="27">
        <v>0</v>
      </c>
      <c r="O87" s="26">
        <v>54999</v>
      </c>
      <c r="P87" s="26">
        <v>54999</v>
      </c>
      <c r="Q87" s="25" t="s">
        <v>71</v>
      </c>
      <c r="R87" s="38" t="s">
        <v>12</v>
      </c>
    </row>
    <row r="88" spans="1:18" ht="15" customHeight="1" x14ac:dyDescent="0.25">
      <c r="A88" s="35">
        <v>56</v>
      </c>
      <c r="B88" s="22" t="s">
        <v>223</v>
      </c>
      <c r="C88" s="22" t="s">
        <v>219</v>
      </c>
      <c r="D88" s="22" t="s">
        <v>40</v>
      </c>
      <c r="E88" s="22" t="s">
        <v>107</v>
      </c>
      <c r="F88" s="22" t="s">
        <v>36</v>
      </c>
      <c r="G88" s="22" t="s">
        <v>108</v>
      </c>
      <c r="H88" s="22" t="s">
        <v>109</v>
      </c>
      <c r="I88" s="22" t="s">
        <v>32</v>
      </c>
      <c r="J88" s="22" t="s">
        <v>31</v>
      </c>
      <c r="K88" s="22" t="s">
        <v>62</v>
      </c>
      <c r="L88" s="22">
        <v>1</v>
      </c>
      <c r="M88" s="23">
        <v>79999</v>
      </c>
      <c r="N88" s="24">
        <v>0.1</v>
      </c>
      <c r="O88" s="23">
        <v>79999</v>
      </c>
      <c r="P88" s="23">
        <v>71999.100000000006</v>
      </c>
      <c r="Q88" s="22" t="s">
        <v>63</v>
      </c>
      <c r="R88" s="37" t="s">
        <v>12</v>
      </c>
    </row>
    <row r="89" spans="1:18" ht="15" customHeight="1" x14ac:dyDescent="0.25">
      <c r="A89" s="36">
        <v>57</v>
      </c>
      <c r="B89" s="25" t="s">
        <v>224</v>
      </c>
      <c r="C89" s="25" t="s">
        <v>219</v>
      </c>
      <c r="D89" s="25" t="s">
        <v>40</v>
      </c>
      <c r="E89" s="25" t="s">
        <v>123</v>
      </c>
      <c r="F89" s="25" t="s">
        <v>33</v>
      </c>
      <c r="G89" s="25" t="s">
        <v>124</v>
      </c>
      <c r="H89" s="25" t="s">
        <v>102</v>
      </c>
      <c r="I89" s="25" t="s">
        <v>32</v>
      </c>
      <c r="J89" s="25" t="s">
        <v>38</v>
      </c>
      <c r="K89" s="25" t="s">
        <v>92</v>
      </c>
      <c r="L89" s="25">
        <v>1</v>
      </c>
      <c r="M89" s="26">
        <v>54999</v>
      </c>
      <c r="N89" s="27">
        <v>0</v>
      </c>
      <c r="O89" s="26">
        <v>54999</v>
      </c>
      <c r="P89" s="26">
        <v>54999</v>
      </c>
      <c r="Q89" s="25" t="s">
        <v>121</v>
      </c>
      <c r="R89" s="38" t="s">
        <v>12</v>
      </c>
    </row>
    <row r="90" spans="1:18" ht="15" customHeight="1" x14ac:dyDescent="0.25">
      <c r="A90" s="35">
        <v>58</v>
      </c>
      <c r="B90" s="22" t="s">
        <v>225</v>
      </c>
      <c r="C90" s="22" t="s">
        <v>219</v>
      </c>
      <c r="D90" s="22" t="s">
        <v>40</v>
      </c>
      <c r="E90" s="22" t="s">
        <v>82</v>
      </c>
      <c r="F90" s="22" t="s">
        <v>33</v>
      </c>
      <c r="G90" s="22" t="s">
        <v>83</v>
      </c>
      <c r="H90" s="22" t="s">
        <v>84</v>
      </c>
      <c r="I90" s="22" t="s">
        <v>32</v>
      </c>
      <c r="J90" s="22" t="s">
        <v>41</v>
      </c>
      <c r="K90" s="22" t="s">
        <v>150</v>
      </c>
      <c r="L90" s="22">
        <v>1</v>
      </c>
      <c r="M90" s="23">
        <v>24999</v>
      </c>
      <c r="N90" s="24">
        <v>0.05</v>
      </c>
      <c r="O90" s="23">
        <v>24999</v>
      </c>
      <c r="P90" s="23">
        <v>23749.05</v>
      </c>
      <c r="Q90" s="22" t="s">
        <v>71</v>
      </c>
      <c r="R90" s="37" t="s">
        <v>12</v>
      </c>
    </row>
    <row r="91" spans="1:18" ht="15" customHeight="1" x14ac:dyDescent="0.25">
      <c r="A91" s="36">
        <v>59</v>
      </c>
      <c r="B91" s="25" t="s">
        <v>226</v>
      </c>
      <c r="C91" s="25" t="s">
        <v>219</v>
      </c>
      <c r="D91" s="25" t="s">
        <v>40</v>
      </c>
      <c r="E91" s="25" t="s">
        <v>66</v>
      </c>
      <c r="F91" s="25" t="s">
        <v>39</v>
      </c>
      <c r="G91" s="25" t="s">
        <v>67</v>
      </c>
      <c r="H91" s="25" t="s">
        <v>61</v>
      </c>
      <c r="I91" s="25" t="s">
        <v>68</v>
      </c>
      <c r="J91" s="25" t="s">
        <v>69</v>
      </c>
      <c r="K91" s="25" t="s">
        <v>70</v>
      </c>
      <c r="L91" s="25">
        <v>2</v>
      </c>
      <c r="M91" s="26">
        <v>3499</v>
      </c>
      <c r="N91" s="27">
        <v>0.05</v>
      </c>
      <c r="O91" s="26">
        <v>6998</v>
      </c>
      <c r="P91" s="26">
        <v>6648.1</v>
      </c>
      <c r="Q91" s="25" t="s">
        <v>98</v>
      </c>
      <c r="R91" s="38" t="s">
        <v>12</v>
      </c>
    </row>
    <row r="92" spans="1:18" ht="15" customHeight="1" x14ac:dyDescent="0.25">
      <c r="A92" s="35">
        <v>59</v>
      </c>
      <c r="B92" s="22" t="s">
        <v>226</v>
      </c>
      <c r="C92" s="22" t="s">
        <v>219</v>
      </c>
      <c r="D92" s="22" t="s">
        <v>40</v>
      </c>
      <c r="E92" s="22" t="s">
        <v>66</v>
      </c>
      <c r="F92" s="22" t="s">
        <v>39</v>
      </c>
      <c r="G92" s="22" t="s">
        <v>67</v>
      </c>
      <c r="H92" s="22" t="s">
        <v>61</v>
      </c>
      <c r="I92" s="22" t="s">
        <v>68</v>
      </c>
      <c r="J92" s="22" t="s">
        <v>227</v>
      </c>
      <c r="K92" s="22" t="s">
        <v>228</v>
      </c>
      <c r="L92" s="22">
        <v>1</v>
      </c>
      <c r="M92" s="23">
        <v>1999</v>
      </c>
      <c r="N92" s="24">
        <v>0.05</v>
      </c>
      <c r="O92" s="23">
        <v>1999</v>
      </c>
      <c r="P92" s="23">
        <v>1899.05</v>
      </c>
      <c r="Q92" s="22" t="s">
        <v>98</v>
      </c>
      <c r="R92" s="37" t="s">
        <v>12</v>
      </c>
    </row>
    <row r="93" spans="1:18" ht="15" customHeight="1" x14ac:dyDescent="0.25">
      <c r="A93" s="36">
        <v>60</v>
      </c>
      <c r="B93" s="25" t="s">
        <v>229</v>
      </c>
      <c r="C93" s="25" t="s">
        <v>219</v>
      </c>
      <c r="D93" s="25" t="s">
        <v>40</v>
      </c>
      <c r="E93" s="25" t="s">
        <v>100</v>
      </c>
      <c r="F93" s="25" t="s">
        <v>36</v>
      </c>
      <c r="G93" s="25" t="s">
        <v>101</v>
      </c>
      <c r="H93" s="25" t="s">
        <v>102</v>
      </c>
      <c r="I93" s="25" t="s">
        <v>140</v>
      </c>
      <c r="J93" s="25" t="s">
        <v>230</v>
      </c>
      <c r="K93" s="25" t="s">
        <v>231</v>
      </c>
      <c r="L93" s="25">
        <v>1</v>
      </c>
      <c r="M93" s="26">
        <v>899</v>
      </c>
      <c r="N93" s="27">
        <v>0</v>
      </c>
      <c r="O93" s="26">
        <v>899</v>
      </c>
      <c r="P93" s="26">
        <v>899</v>
      </c>
      <c r="Q93" s="25" t="s">
        <v>80</v>
      </c>
      <c r="R93" s="38" t="s">
        <v>12</v>
      </c>
    </row>
    <row r="94" spans="1:18" ht="15" customHeight="1" x14ac:dyDescent="0.25">
      <c r="A94" s="35">
        <v>60</v>
      </c>
      <c r="B94" s="22" t="s">
        <v>229</v>
      </c>
      <c r="C94" s="22" t="s">
        <v>219</v>
      </c>
      <c r="D94" s="22" t="s">
        <v>40</v>
      </c>
      <c r="E94" s="22" t="s">
        <v>100</v>
      </c>
      <c r="F94" s="22" t="s">
        <v>36</v>
      </c>
      <c r="G94" s="22" t="s">
        <v>101</v>
      </c>
      <c r="H94" s="22" t="s">
        <v>102</v>
      </c>
      <c r="I94" s="22" t="s">
        <v>140</v>
      </c>
      <c r="J94" s="22" t="s">
        <v>232</v>
      </c>
      <c r="K94" s="22" t="s">
        <v>233</v>
      </c>
      <c r="L94" s="22">
        <v>2</v>
      </c>
      <c r="M94" s="23">
        <v>499</v>
      </c>
      <c r="N94" s="24">
        <v>0</v>
      </c>
      <c r="O94" s="23">
        <v>998</v>
      </c>
      <c r="P94" s="23">
        <v>998</v>
      </c>
      <c r="Q94" s="22" t="s">
        <v>80</v>
      </c>
      <c r="R94" s="37" t="s">
        <v>12</v>
      </c>
    </row>
    <row r="95" spans="1:18" ht="15" customHeight="1" x14ac:dyDescent="0.25">
      <c r="A95" s="36">
        <v>61</v>
      </c>
      <c r="B95" s="25" t="s">
        <v>93</v>
      </c>
      <c r="C95" s="25" t="s">
        <v>58</v>
      </c>
      <c r="D95" s="25" t="s">
        <v>30</v>
      </c>
      <c r="E95" s="25" t="s">
        <v>94</v>
      </c>
      <c r="F95" s="25" t="s">
        <v>36</v>
      </c>
      <c r="G95" s="25" t="s">
        <v>95</v>
      </c>
      <c r="H95" s="25" t="s">
        <v>95</v>
      </c>
      <c r="I95" s="25" t="s">
        <v>133</v>
      </c>
      <c r="J95" s="25" t="s">
        <v>205</v>
      </c>
      <c r="K95" s="25" t="s">
        <v>206</v>
      </c>
      <c r="L95" s="25">
        <v>4</v>
      </c>
      <c r="M95" s="26">
        <v>175</v>
      </c>
      <c r="N95" s="27">
        <v>0</v>
      </c>
      <c r="O95" s="26">
        <v>700</v>
      </c>
      <c r="P95" s="26">
        <v>700</v>
      </c>
      <c r="Q95" s="25" t="s">
        <v>98</v>
      </c>
      <c r="R95" s="38" t="s">
        <v>12</v>
      </c>
    </row>
    <row r="96" spans="1:18" ht="15" customHeight="1" x14ac:dyDescent="0.25">
      <c r="A96" s="35">
        <v>62</v>
      </c>
      <c r="B96" s="22" t="s">
        <v>234</v>
      </c>
      <c r="C96" s="22" t="s">
        <v>106</v>
      </c>
      <c r="D96" s="22" t="s">
        <v>30</v>
      </c>
      <c r="E96" s="22" t="s">
        <v>161</v>
      </c>
      <c r="F96" s="22" t="s">
        <v>39</v>
      </c>
      <c r="G96" s="22" t="s">
        <v>162</v>
      </c>
      <c r="H96" s="22" t="s">
        <v>139</v>
      </c>
      <c r="I96" s="22" t="s">
        <v>68</v>
      </c>
      <c r="J96" s="22" t="s">
        <v>85</v>
      </c>
      <c r="K96" s="22" t="s">
        <v>86</v>
      </c>
      <c r="L96" s="22">
        <v>1</v>
      </c>
      <c r="M96" s="23">
        <v>8995</v>
      </c>
      <c r="N96" s="24">
        <v>0.05</v>
      </c>
      <c r="O96" s="23">
        <v>8995</v>
      </c>
      <c r="P96" s="23">
        <v>8545.25</v>
      </c>
      <c r="Q96" s="22" t="s">
        <v>63</v>
      </c>
      <c r="R96" s="37" t="s">
        <v>12</v>
      </c>
    </row>
    <row r="97" spans="1:18" ht="15" customHeight="1" x14ac:dyDescent="0.25">
      <c r="A97" s="36">
        <v>63</v>
      </c>
      <c r="B97" s="25" t="s">
        <v>235</v>
      </c>
      <c r="C97" s="25" t="s">
        <v>129</v>
      </c>
      <c r="D97" s="25" t="s">
        <v>30</v>
      </c>
      <c r="E97" s="25" t="s">
        <v>190</v>
      </c>
      <c r="F97" s="25" t="s">
        <v>36</v>
      </c>
      <c r="G97" s="25" t="s">
        <v>95</v>
      </c>
      <c r="H97" s="25" t="s">
        <v>95</v>
      </c>
      <c r="I97" s="25" t="s">
        <v>32</v>
      </c>
      <c r="J97" s="25" t="s">
        <v>35</v>
      </c>
      <c r="K97" s="25" t="s">
        <v>79</v>
      </c>
      <c r="L97" s="25">
        <v>1</v>
      </c>
      <c r="M97" s="26">
        <v>62000</v>
      </c>
      <c r="N97" s="27">
        <v>0.1</v>
      </c>
      <c r="O97" s="26">
        <v>62000</v>
      </c>
      <c r="P97" s="26">
        <v>55800</v>
      </c>
      <c r="Q97" s="25" t="s">
        <v>63</v>
      </c>
      <c r="R97" s="38" t="s">
        <v>12</v>
      </c>
    </row>
    <row r="98" spans="1:18" ht="15" customHeight="1" x14ac:dyDescent="0.25">
      <c r="A98" s="35">
        <v>64</v>
      </c>
      <c r="B98" s="22" t="s">
        <v>236</v>
      </c>
      <c r="C98" s="22" t="s">
        <v>144</v>
      </c>
      <c r="D98" s="22" t="s">
        <v>34</v>
      </c>
      <c r="E98" s="22" t="s">
        <v>167</v>
      </c>
      <c r="F98" s="22" t="s">
        <v>33</v>
      </c>
      <c r="G98" s="22" t="s">
        <v>168</v>
      </c>
      <c r="H98" s="22" t="s">
        <v>169</v>
      </c>
      <c r="I98" s="22" t="s">
        <v>72</v>
      </c>
      <c r="J98" s="22" t="s">
        <v>125</v>
      </c>
      <c r="K98" s="22" t="s">
        <v>126</v>
      </c>
      <c r="L98" s="22">
        <v>3</v>
      </c>
      <c r="M98" s="23">
        <v>599</v>
      </c>
      <c r="N98" s="24">
        <v>0</v>
      </c>
      <c r="O98" s="23">
        <v>1797</v>
      </c>
      <c r="P98" s="23">
        <v>1797</v>
      </c>
      <c r="Q98" s="22" t="s">
        <v>71</v>
      </c>
      <c r="R98" s="37" t="s">
        <v>12</v>
      </c>
    </row>
    <row r="99" spans="1:18" ht="15" customHeight="1" x14ac:dyDescent="0.25">
      <c r="A99" s="36">
        <v>64</v>
      </c>
      <c r="B99" s="25" t="s">
        <v>236</v>
      </c>
      <c r="C99" s="25" t="s">
        <v>144</v>
      </c>
      <c r="D99" s="25" t="s">
        <v>34</v>
      </c>
      <c r="E99" s="25" t="s">
        <v>167</v>
      </c>
      <c r="F99" s="25" t="s">
        <v>33</v>
      </c>
      <c r="G99" s="25" t="s">
        <v>168</v>
      </c>
      <c r="H99" s="25" t="s">
        <v>169</v>
      </c>
      <c r="I99" s="25" t="s">
        <v>72</v>
      </c>
      <c r="J99" s="25" t="s">
        <v>73</v>
      </c>
      <c r="K99" s="25" t="s">
        <v>74</v>
      </c>
      <c r="L99" s="25">
        <v>2</v>
      </c>
      <c r="M99" s="26">
        <v>399</v>
      </c>
      <c r="N99" s="27">
        <v>0</v>
      </c>
      <c r="O99" s="26">
        <v>798</v>
      </c>
      <c r="P99" s="26">
        <v>798</v>
      </c>
      <c r="Q99" s="25" t="s">
        <v>71</v>
      </c>
      <c r="R99" s="38" t="s">
        <v>12</v>
      </c>
    </row>
    <row r="100" spans="1:18" ht="15" customHeight="1" x14ac:dyDescent="0.25">
      <c r="A100" s="35">
        <v>65</v>
      </c>
      <c r="B100" s="22" t="s">
        <v>237</v>
      </c>
      <c r="C100" s="22" t="s">
        <v>149</v>
      </c>
      <c r="D100" s="22" t="s">
        <v>34</v>
      </c>
      <c r="E100" s="22" t="s">
        <v>238</v>
      </c>
      <c r="F100" s="22" t="s">
        <v>33</v>
      </c>
      <c r="G100" s="22" t="s">
        <v>168</v>
      </c>
      <c r="H100" s="22" t="s">
        <v>169</v>
      </c>
      <c r="I100" s="22" t="s">
        <v>133</v>
      </c>
      <c r="J100" s="22" t="s">
        <v>176</v>
      </c>
      <c r="K100" s="22" t="s">
        <v>177</v>
      </c>
      <c r="L100" s="22">
        <v>3</v>
      </c>
      <c r="M100" s="23">
        <v>599</v>
      </c>
      <c r="N100" s="24">
        <v>0.1</v>
      </c>
      <c r="O100" s="23">
        <v>1797</v>
      </c>
      <c r="P100" s="23">
        <v>1617.3</v>
      </c>
      <c r="Q100" s="22" t="s">
        <v>98</v>
      </c>
      <c r="R100" s="37" t="s">
        <v>12</v>
      </c>
    </row>
    <row r="101" spans="1:18" ht="15" customHeight="1" x14ac:dyDescent="0.25">
      <c r="A101" s="36">
        <v>66</v>
      </c>
      <c r="B101" s="25" t="s">
        <v>239</v>
      </c>
      <c r="C101" s="25" t="s">
        <v>158</v>
      </c>
      <c r="D101" s="25" t="s">
        <v>34</v>
      </c>
      <c r="E101" s="25" t="s">
        <v>137</v>
      </c>
      <c r="F101" s="25" t="s">
        <v>36</v>
      </c>
      <c r="G101" s="25" t="s">
        <v>138</v>
      </c>
      <c r="H101" s="25" t="s">
        <v>139</v>
      </c>
      <c r="I101" s="25" t="s">
        <v>110</v>
      </c>
      <c r="J101" s="25" t="s">
        <v>131</v>
      </c>
      <c r="K101" s="25" t="s">
        <v>132</v>
      </c>
      <c r="L101" s="25">
        <v>1</v>
      </c>
      <c r="M101" s="26">
        <v>2499</v>
      </c>
      <c r="N101" s="27">
        <v>0</v>
      </c>
      <c r="O101" s="26">
        <v>2499</v>
      </c>
      <c r="P101" s="26">
        <v>2499</v>
      </c>
      <c r="Q101" s="25" t="s">
        <v>71</v>
      </c>
      <c r="R101" s="38" t="s">
        <v>12</v>
      </c>
    </row>
    <row r="102" spans="1:18" ht="15" customHeight="1" x14ac:dyDescent="0.25">
      <c r="A102" s="35">
        <v>67</v>
      </c>
      <c r="B102" s="22" t="s">
        <v>240</v>
      </c>
      <c r="C102" s="22" t="s">
        <v>164</v>
      </c>
      <c r="D102" s="22" t="s">
        <v>37</v>
      </c>
      <c r="E102" s="22" t="s">
        <v>241</v>
      </c>
      <c r="F102" s="22" t="s">
        <v>33</v>
      </c>
      <c r="G102" s="22" t="s">
        <v>108</v>
      </c>
      <c r="H102" s="22" t="s">
        <v>109</v>
      </c>
      <c r="I102" s="22" t="s">
        <v>32</v>
      </c>
      <c r="J102" s="22" t="s">
        <v>35</v>
      </c>
      <c r="K102" s="22" t="s">
        <v>79</v>
      </c>
      <c r="L102" s="22">
        <v>1</v>
      </c>
      <c r="M102" s="23">
        <v>62000</v>
      </c>
      <c r="N102" s="24">
        <v>0</v>
      </c>
      <c r="O102" s="23">
        <v>62000</v>
      </c>
      <c r="P102" s="23">
        <v>62000</v>
      </c>
      <c r="Q102" s="22" t="s">
        <v>80</v>
      </c>
      <c r="R102" s="37" t="s">
        <v>12</v>
      </c>
    </row>
    <row r="103" spans="1:18" ht="15" customHeight="1" x14ac:dyDescent="0.25">
      <c r="A103" s="36">
        <v>68</v>
      </c>
      <c r="B103" s="25" t="s">
        <v>242</v>
      </c>
      <c r="C103" s="25" t="s">
        <v>173</v>
      </c>
      <c r="D103" s="25" t="s">
        <v>37</v>
      </c>
      <c r="E103" s="25" t="s">
        <v>161</v>
      </c>
      <c r="F103" s="25" t="s">
        <v>39</v>
      </c>
      <c r="G103" s="25" t="s">
        <v>162</v>
      </c>
      <c r="H103" s="25" t="s">
        <v>139</v>
      </c>
      <c r="I103" s="25" t="s">
        <v>140</v>
      </c>
      <c r="J103" s="25" t="s">
        <v>243</v>
      </c>
      <c r="K103" s="25" t="s">
        <v>142</v>
      </c>
      <c r="L103" s="25">
        <v>2</v>
      </c>
      <c r="M103" s="26">
        <v>549</v>
      </c>
      <c r="N103" s="27">
        <v>0</v>
      </c>
      <c r="O103" s="26">
        <v>1098</v>
      </c>
      <c r="P103" s="26">
        <v>1098</v>
      </c>
      <c r="Q103" s="25" t="s">
        <v>71</v>
      </c>
      <c r="R103" s="38" t="s">
        <v>12</v>
      </c>
    </row>
    <row r="104" spans="1:18" ht="15" customHeight="1" x14ac:dyDescent="0.25">
      <c r="A104" s="35">
        <v>69</v>
      </c>
      <c r="B104" s="22" t="s">
        <v>244</v>
      </c>
      <c r="C104" s="22" t="s">
        <v>180</v>
      </c>
      <c r="D104" s="22" t="s">
        <v>37</v>
      </c>
      <c r="E104" s="22" t="s">
        <v>245</v>
      </c>
      <c r="F104" s="22" t="s">
        <v>33</v>
      </c>
      <c r="G104" s="22" t="s">
        <v>246</v>
      </c>
      <c r="H104" s="22" t="s">
        <v>91</v>
      </c>
      <c r="I104" s="22" t="s">
        <v>32</v>
      </c>
      <c r="J104" s="22" t="s">
        <v>38</v>
      </c>
      <c r="K104" s="22" t="s">
        <v>92</v>
      </c>
      <c r="L104" s="22">
        <v>1</v>
      </c>
      <c r="M104" s="23">
        <v>54999</v>
      </c>
      <c r="N104" s="24">
        <v>0</v>
      </c>
      <c r="O104" s="23">
        <v>54999</v>
      </c>
      <c r="P104" s="23">
        <v>54999</v>
      </c>
      <c r="Q104" s="22" t="s">
        <v>63</v>
      </c>
      <c r="R104" s="37" t="s">
        <v>12</v>
      </c>
    </row>
    <row r="105" spans="1:18" ht="15" customHeight="1" x14ac:dyDescent="0.25">
      <c r="A105" s="36">
        <v>70</v>
      </c>
      <c r="B105" s="25" t="s">
        <v>247</v>
      </c>
      <c r="C105" s="25" t="s">
        <v>184</v>
      </c>
      <c r="D105" s="25" t="s">
        <v>40</v>
      </c>
      <c r="E105" s="25" t="s">
        <v>238</v>
      </c>
      <c r="F105" s="25" t="s">
        <v>33</v>
      </c>
      <c r="G105" s="25" t="s">
        <v>168</v>
      </c>
      <c r="H105" s="25" t="s">
        <v>169</v>
      </c>
      <c r="I105" s="25" t="s">
        <v>32</v>
      </c>
      <c r="J105" s="25" t="s">
        <v>31</v>
      </c>
      <c r="K105" s="25" t="s">
        <v>62</v>
      </c>
      <c r="L105" s="25">
        <v>1</v>
      </c>
      <c r="M105" s="26">
        <v>79999</v>
      </c>
      <c r="N105" s="27">
        <v>0.1</v>
      </c>
      <c r="O105" s="26">
        <v>79999</v>
      </c>
      <c r="P105" s="26">
        <v>71999.100000000006</v>
      </c>
      <c r="Q105" s="25" t="s">
        <v>63</v>
      </c>
      <c r="R105" s="38" t="s">
        <v>12</v>
      </c>
    </row>
    <row r="106" spans="1:18" ht="15" customHeight="1" x14ac:dyDescent="0.25">
      <c r="A106" s="35">
        <v>71</v>
      </c>
      <c r="B106" s="22" t="s">
        <v>248</v>
      </c>
      <c r="C106" s="22" t="s">
        <v>10</v>
      </c>
      <c r="D106" s="22" t="s">
        <v>40</v>
      </c>
      <c r="E106" s="22" t="s">
        <v>249</v>
      </c>
      <c r="F106" s="22" t="s">
        <v>36</v>
      </c>
      <c r="G106" s="22" t="s">
        <v>250</v>
      </c>
      <c r="H106" s="22" t="s">
        <v>251</v>
      </c>
      <c r="I106" s="22" t="s">
        <v>32</v>
      </c>
      <c r="J106" s="22" t="s">
        <v>41</v>
      </c>
      <c r="K106" s="22" t="s">
        <v>150</v>
      </c>
      <c r="L106" s="22">
        <v>1</v>
      </c>
      <c r="M106" s="23">
        <v>24999</v>
      </c>
      <c r="N106" s="24">
        <v>0.1</v>
      </c>
      <c r="O106" s="23">
        <v>24999</v>
      </c>
      <c r="P106" s="23">
        <v>22499.1</v>
      </c>
      <c r="Q106" s="22" t="s">
        <v>80</v>
      </c>
      <c r="R106" s="37" t="s">
        <v>12</v>
      </c>
    </row>
    <row r="107" spans="1:18" ht="15" customHeight="1" x14ac:dyDescent="0.25">
      <c r="A107" s="36">
        <v>72</v>
      </c>
      <c r="B107" s="25" t="s">
        <v>252</v>
      </c>
      <c r="C107" s="25" t="s">
        <v>219</v>
      </c>
      <c r="D107" s="25" t="s">
        <v>40</v>
      </c>
      <c r="E107" s="25" t="s">
        <v>241</v>
      </c>
      <c r="F107" s="25" t="s">
        <v>33</v>
      </c>
      <c r="G107" s="25" t="s">
        <v>108</v>
      </c>
      <c r="H107" s="25" t="s">
        <v>109</v>
      </c>
      <c r="I107" s="25" t="s">
        <v>32</v>
      </c>
      <c r="J107" s="25" t="s">
        <v>31</v>
      </c>
      <c r="K107" s="25" t="s">
        <v>62</v>
      </c>
      <c r="L107" s="25">
        <v>1</v>
      </c>
      <c r="M107" s="26">
        <v>79999</v>
      </c>
      <c r="N107" s="27">
        <v>0</v>
      </c>
      <c r="O107" s="26">
        <v>79999</v>
      </c>
      <c r="P107" s="26">
        <v>79999</v>
      </c>
      <c r="Q107" s="25" t="s">
        <v>63</v>
      </c>
      <c r="R107" s="38" t="s">
        <v>12</v>
      </c>
    </row>
    <row r="108" spans="1:18" ht="15" customHeight="1" x14ac:dyDescent="0.25">
      <c r="A108" s="42">
        <v>72</v>
      </c>
      <c r="B108" s="43" t="s">
        <v>252</v>
      </c>
      <c r="C108" s="43" t="s">
        <v>219</v>
      </c>
      <c r="D108" s="43" t="s">
        <v>40</v>
      </c>
      <c r="E108" s="43" t="s">
        <v>241</v>
      </c>
      <c r="F108" s="43" t="s">
        <v>33</v>
      </c>
      <c r="G108" s="43" t="s">
        <v>108</v>
      </c>
      <c r="H108" s="43" t="s">
        <v>109</v>
      </c>
      <c r="I108" s="43" t="s">
        <v>32</v>
      </c>
      <c r="J108" s="43" t="s">
        <v>35</v>
      </c>
      <c r="K108" s="43" t="s">
        <v>79</v>
      </c>
      <c r="L108" s="43">
        <v>1</v>
      </c>
      <c r="M108" s="44">
        <v>62000</v>
      </c>
      <c r="N108" s="45">
        <v>0</v>
      </c>
      <c r="O108" s="44">
        <v>62000</v>
      </c>
      <c r="P108" s="44">
        <v>62000</v>
      </c>
      <c r="Q108" s="43" t="s">
        <v>63</v>
      </c>
      <c r="R108" s="46" t="s">
        <v>12</v>
      </c>
    </row>
    <row r="111" spans="1:18" x14ac:dyDescent="0.25">
      <c r="P111" s="49">
        <f>SUM(Table1[Net Revenue (₹)])</f>
        <v>3121021.2000000007</v>
      </c>
    </row>
  </sheetData>
  <pageMargins left="0.75" right="0.75" top="1" bottom="1" header="0.511811023622047" footer="0.511811023622047"/>
  <pageSetup paperSize="9"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KPI Dashboard</vt:lpstr>
      <vt:lpstr>Monthly Summary</vt:lpstr>
      <vt:lpstr>Category Analysis</vt:lpstr>
      <vt:lpstr>Monthly Revenue Trend</vt:lpstr>
      <vt:lpstr>Category Breakdown </vt:lpstr>
      <vt:lpstr>Customer Segment</vt:lpstr>
      <vt:lpstr>Top Products Top 10</vt:lpstr>
      <vt:lpstr>Payment Analysis</vt:lpstr>
      <vt:lpstr>Customer Analysis</vt: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Amey Shinde</cp:lastModifiedBy>
  <cp:revision>4</cp:revision>
  <dcterms:created xsi:type="dcterms:W3CDTF">2026-05-23T14:53:23Z</dcterms:created>
  <dcterms:modified xsi:type="dcterms:W3CDTF">2026-07-20T14:15:23Z</dcterms:modified>
  <dc:language>en-US</dc:language>
</cp:coreProperties>
</file>